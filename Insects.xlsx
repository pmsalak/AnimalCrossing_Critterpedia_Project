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ects" sheetId="1" r:id="rId5"/>
  </sheets>
  <definedNames>
    <definedName hidden="1" localSheetId="0" name="Z_5527591F_0749_4090_BA8B_7C8BF5450F3A_.wvu.FilterData">Insects!$A$1:$AU$81</definedName>
    <definedName hidden="1" localSheetId="0" name="Z_7CA9A4FF_F6CF_4EAA_9231_875F1BFE588D_.wvu.FilterData">Insects!$G$1:$G$81</definedName>
  </definedNames>
  <calcPr/>
  <customWorkbookViews>
    <customWorkbookView activeSheetId="0" maximized="1" windowHeight="0" windowWidth="0" guid="{5527591F-0749-4090-BA8B-7C8BF5450F3A}" name="Filter 1"/>
    <customWorkbookView activeSheetId="0" maximized="1" windowHeight="0" windowWidth="0" guid="{7CA9A4FF-F6CF-4EAA-9231-875F1BFE588D}" name="Filter 2"/>
  </customWorkbookViews>
</workbook>
</file>

<file path=xl/sharedStrings.xml><?xml version="1.0" encoding="utf-8"?>
<sst xmlns="http://schemas.openxmlformats.org/spreadsheetml/2006/main" count="3167" uniqueCount="686">
  <si>
    <t>#</t>
  </si>
  <si>
    <t>Name</t>
  </si>
  <si>
    <t>Icon Image</t>
  </si>
  <si>
    <t>Critterpedia Image</t>
  </si>
  <si>
    <t>Furniture Image</t>
  </si>
  <si>
    <t>Sell</t>
  </si>
  <si>
    <t>Where/How</t>
  </si>
  <si>
    <t>Weather</t>
  </si>
  <si>
    <t>Total Catches to Unlock</t>
  </si>
  <si>
    <t>Spawn Rates</t>
  </si>
  <si>
    <t>NH Jan</t>
  </si>
  <si>
    <t>NH Feb</t>
  </si>
  <si>
    <t>NH Mar</t>
  </si>
  <si>
    <t>NH Apr</t>
  </si>
  <si>
    <t>NH May</t>
  </si>
  <si>
    <t>NH Jun</t>
  </si>
  <si>
    <t>NH Jul</t>
  </si>
  <si>
    <t>NH Aug</t>
  </si>
  <si>
    <t>NH Sep</t>
  </si>
  <si>
    <t>NH Oct</t>
  </si>
  <si>
    <t>NH Nov</t>
  </si>
  <si>
    <t>NH Dec</t>
  </si>
  <si>
    <t>SH Jan</t>
  </si>
  <si>
    <t>SH Feb</t>
  </si>
  <si>
    <t>SH Mar</t>
  </si>
  <si>
    <t>SH Apr</t>
  </si>
  <si>
    <t>SH May</t>
  </si>
  <si>
    <t>SH Jun</t>
  </si>
  <si>
    <t>SH Jul</t>
  </si>
  <si>
    <t>SH Aug</t>
  </si>
  <si>
    <t>SH Sep</t>
  </si>
  <si>
    <t>SH Oct</t>
  </si>
  <si>
    <t>SH Nov</t>
  </si>
  <si>
    <t>SH Dec</t>
  </si>
  <si>
    <t>Size</t>
  </si>
  <si>
    <t>Surface</t>
  </si>
  <si>
    <t>Description</t>
  </si>
  <si>
    <t>Catch phrase</t>
  </si>
  <si>
    <t>HHA Base Points</t>
  </si>
  <si>
    <t>HHA Category</t>
  </si>
  <si>
    <t>Color 1</t>
  </si>
  <si>
    <t>Color 2</t>
  </si>
  <si>
    <t>Icon Filename</t>
  </si>
  <si>
    <t>Critterpedia Filename</t>
  </si>
  <si>
    <t>Furniture Filename</t>
  </si>
  <si>
    <t>Internal ID</t>
  </si>
  <si>
    <t>Unique Entry ID</t>
  </si>
  <si>
    <t>agrias butterfly</t>
  </si>
  <si>
    <t>Flying near flowers</t>
  </si>
  <si>
    <t>Any except rain</t>
  </si>
  <si>
    <t>5</t>
  </si>
  <si>
    <t>NA</t>
  </si>
  <si>
    <t>8 AM – 5 PM</t>
  </si>
  <si>
    <t>1x1</t>
  </si>
  <si>
    <t>Yes</t>
  </si>
  <si>
    <t>Some say the agrias butterfly is one of the most beautiful butterflies in the world. Bah, I say! BAH! They may have brightly colored wings, but the way they flutter and flitter...SO FOUL! In fact, the agrias butterfly flies so fast, it is quite a feat to catch one. I suppose I should congratulate you on your good fortune... But catching any bug seems a misfortune to me.</t>
  </si>
  <si>
    <t>I caught an agrias butterfly! I wonder if it finds me disagrias-able?</t>
  </si>
  <si>
    <t>Pet</t>
  </si>
  <si>
    <t>Pink</t>
  </si>
  <si>
    <t>Green</t>
  </si>
  <si>
    <t>Ins6</t>
  </si>
  <si>
    <t>InsectMiirotateha</t>
  </si>
  <si>
    <t>FtrInsectMiirotateha</t>
  </si>
  <si>
    <t>aj95rMzdbSbvZy9A2</t>
  </si>
  <si>
    <t>ant</t>
  </si>
  <si>
    <t>On rotten turnips or candy</t>
  </si>
  <si>
    <t>Any weather</t>
  </si>
  <si>
    <t>0</t>
  </si>
  <si>
    <t>All day</t>
  </si>
  <si>
    <t>No</t>
  </si>
  <si>
    <t>I warn you, the ant may be a small bug, but it finds scary strength in numbers. You see, the ant itself is the strongest creature in the world in relation to its size. One of these diminutive fiends can carry 50 times its own bodyweight! And if it wants to lift something even larger... Why, it simply calls on its ant friends to join the effort. Creepy cooperation, I say...</t>
  </si>
  <si>
    <t>I caught an ant! TELL ME WHERE THE QUEEN IS!</t>
  </si>
  <si>
    <t>Black</t>
  </si>
  <si>
    <t>White</t>
  </si>
  <si>
    <t>Ins26</t>
  </si>
  <si>
    <t>InsectAri</t>
  </si>
  <si>
    <t>FtrInsectAri</t>
  </si>
  <si>
    <t>QZpmczZu4hW2a4Rpv</t>
  </si>
  <si>
    <t>Atlas moth</t>
  </si>
  <si>
    <t>On trees (any kind)</t>
  </si>
  <si>
    <t>7 PM – 4 AM</t>
  </si>
  <si>
    <t>The Atlas moth is a monstrous thing! Not only is it one of the largest moths in the world... The tips of its wings look rather like the heads of venomous snakes! Despite its largeness and loathsome looks, the adult Atlas moth lives only for a few days. It emerges from its cocoon without a mouth, you see...and so cannot eat. I feel for the poor thing...but it is still foul!</t>
  </si>
  <si>
    <t>I caught an Atlas moth! I bet it never gets lost!</t>
  </si>
  <si>
    <t>Orange</t>
  </si>
  <si>
    <t>Yellow</t>
  </si>
  <si>
    <t>Ins10</t>
  </si>
  <si>
    <t>InsectYonagunisan</t>
  </si>
  <si>
    <t>FtrInsectYonagunisan</t>
  </si>
  <si>
    <t>u2GhYQJXDCQKp7AQ8</t>
  </si>
  <si>
    <t>bagworm</t>
  </si>
  <si>
    <t>Shaking trees (hardwood or cedar only)</t>
  </si>
  <si>
    <t>50</t>
  </si>
  <si>
    <t>The bagworm is, in fact, not a worm at all, but a caterpillar instead. The filthy fraud uses silk and leaves to spin a cozy bag for it to hide inside—hence the name. Some find it cute the way bagworms dangle from trees. But the truth is they're gluttonous monsters. These beasts love to stuff their bug- gullets full of leaves, devouring the very trees they hang upon. Wretched villains is what they are.</t>
  </si>
  <si>
    <t>I caught a bagworm! Guess I'm a bragworm!</t>
  </si>
  <si>
    <t>Brown</t>
  </si>
  <si>
    <t>Blue</t>
  </si>
  <si>
    <t>Ins36</t>
  </si>
  <si>
    <t>InsectMinomushi</t>
  </si>
  <si>
    <t>FtrInsectMinomushi</t>
  </si>
  <si>
    <t>QvxgCm82JqHsDknY4</t>
  </si>
  <si>
    <t>banded dragonfly</t>
  </si>
  <si>
    <t>Flying near water</t>
  </si>
  <si>
    <t>7</t>
  </si>
  <si>
    <t>The banded dragonfly is known for its black-and-yellow-striped body, as well as for its piercing green eyes. And it is those very eyes that help make dragonflies master hunters, you see. Alas, when one looks at me, I can't help but feel it is sizing me up for a meal! Hoot! The horrors! Look away, fiend!</t>
  </si>
  <si>
    <t>I did it! Did you see that? I caught a banded dragonfly!</t>
  </si>
  <si>
    <t>Ins24</t>
  </si>
  <si>
    <t>InsectOniyanma</t>
  </si>
  <si>
    <t>FtrInsectOniyanma</t>
  </si>
  <si>
    <t>pCFep58D6QusMSvR7</t>
  </si>
  <si>
    <t>bell cricket</t>
  </si>
  <si>
    <t>On the ground</t>
  </si>
  <si>
    <t>60</t>
  </si>
  <si>
    <t>5 PM – 8 AM</t>
  </si>
  <si>
    <t>The call of the bell cricket heralds the arrival of autumn. And I concede it is a rather pleasant sound. What I do NOT find pleasant is the way these things rub their strange wings together to make their song! Ick and blech! And to make matters worse, bell crickets have been known to shed two of their four wings! And they simply leave these wings where they fall, as if it were litter! I simply cannot abide such odious behavior.</t>
  </si>
  <si>
    <t>I found a bell cricket! It would make a great bellhop!</t>
  </si>
  <si>
    <t>Beige</t>
  </si>
  <si>
    <t>Ins31</t>
  </si>
  <si>
    <t>InsectSuzumushi</t>
  </si>
  <si>
    <t>FtrInsectSuzumushi</t>
  </si>
  <si>
    <t>d5EQqbQsip82G2CZE</t>
  </si>
  <si>
    <t>blue weevil beetle</t>
  </si>
  <si>
    <t>On palm trees</t>
  </si>
  <si>
    <t>2</t>
  </si>
  <si>
    <t>Yes, yes. The blue weevil beetle does come in beautiful shades of blue and green. The colors are so bright, some say it looks like a living jewel. But I say it looks like a weevil...and weevil rhymes with EVIL. Draw your own conclusions from there. Hoot! I certainly have!</t>
  </si>
  <si>
    <t>I caught a blue weevil beetle! It's the lesser of blue weevils!</t>
  </si>
  <si>
    <t>Ins80</t>
  </si>
  <si>
    <t>InsectHousekizoumushi</t>
  </si>
  <si>
    <t>FtrInsectHousekizoumushi</t>
  </si>
  <si>
    <t>qocWy6r5RXjeThdYy</t>
  </si>
  <si>
    <t>brown cicada</t>
  </si>
  <si>
    <t>On hardwood/cedar trees</t>
  </si>
  <si>
    <t>70</t>
  </si>
  <si>
    <t>Cicadas are obnoxious insects. And not just brown cicadas, mind you...but all cicadas! They flex ribbed membranes on their torso called tymbals to make a loud snapping sound. So rude! Hoo! Yes, it is only the males who make the noise. Sometimes at a volume that can produce pain at close range! Appallingly inconsiderate, I must say...</t>
  </si>
  <si>
    <t>I caught a brown cicada! Now it probably feels blue, cicada.</t>
  </si>
  <si>
    <t>Ins17</t>
  </si>
  <si>
    <t>InsectAburazemi</t>
  </si>
  <si>
    <t>FtrInsectAburazemi</t>
  </si>
  <si>
    <t>gBLRZ2J2R2wwYWFCk</t>
  </si>
  <si>
    <t>centipede</t>
  </si>
  <si>
    <t>From hitting rocks</t>
  </si>
  <si>
    <t>30</t>
  </si>
  <si>
    <t>4 PM – 11 PM</t>
  </si>
  <si>
    <t>The centipede's name means "100 legs." But I tell you now, that's a lie! These ugly bugs can have as few as 15 pairs of legs...or as many as 171. But because of how their bodies are segmented, they never have exactly 100! Hoo! It's true! You know what else is true? Centipedes are carnivorous, aggressive, and venomous! And their bite is quite painful too! HOO-rrible things, I say.</t>
  </si>
  <si>
    <t>I caught a centipede! 99 more and I'll have a dollarpede!</t>
  </si>
  <si>
    <t>Ins60</t>
  </si>
  <si>
    <t>InsectMukade</t>
  </si>
  <si>
    <t>FtrInsectMukade</t>
  </si>
  <si>
    <t>ubStMQwHMJJcYje38</t>
  </si>
  <si>
    <t>cicada shell</t>
  </si>
  <si>
    <t>1</t>
  </si>
  <si>
    <t>Cicadas! The nerve! Not only are they loud, they leave their cicada shells lying about! When it's time for a cicada nymph to turn into an adult, you see, it clings to a tree and sheds its exoskeleton. Then it just leaves this shell of its former self hanging right there! Awful manners, really...and awfully terrifying too.</t>
  </si>
  <si>
    <t>I found a cicada shell! I'm glad the little guy came out of it!</t>
  </si>
  <si>
    <t>None</t>
  </si>
  <si>
    <t>Ins69</t>
  </si>
  <si>
    <t>InsectSeminonukegara</t>
  </si>
  <si>
    <t>FtrInsectSeminonukegara</t>
  </si>
  <si>
    <t>6s3MCahAroqpjGybW</t>
  </si>
  <si>
    <t>citrus long-horned beetle</t>
  </si>
  <si>
    <t>On tree stumps</t>
  </si>
  <si>
    <t>10</t>
  </si>
  <si>
    <t>The citrus long-horned beetle is a putrid pest and a grave threat to trees. Hoo! It's true! Adults possess powerful jaws and use them to chomp through hard wood and plant fibers with ease. The little larvae are no better, boring bullet-like holes into innocent trees with gusto—citrus trees especially. Voracious and vile, indeed!</t>
  </si>
  <si>
    <t>I caught a citrus long-horned beetle! Orange you happy for me?</t>
  </si>
  <si>
    <t>Ins39</t>
  </si>
  <si>
    <t>InsectGomadarakamikiri</t>
  </si>
  <si>
    <t>FtrInsectGomadarakamikiri</t>
  </si>
  <si>
    <t>QR88MPLzYxSCHWZJb</t>
  </si>
  <si>
    <t>common bluebottle</t>
  </si>
  <si>
    <t>Flying</t>
  </si>
  <si>
    <t>4 AM – 7 PM</t>
  </si>
  <si>
    <t>The common bluebottle is a type of swallowtail butterfly with a bright blue line running down its wings. They fly quite nimbly, it seems, and are thus quite difficult to catch. But seeing how they've been known to slurp nutrients from MUD puddles... I simply CAN'T imagine wanting to catch one myself. What awful breath!</t>
  </si>
  <si>
    <t>I caught a common bluebottle! I'll put it in a rare green jar!</t>
  </si>
  <si>
    <t>Ins72</t>
  </si>
  <si>
    <t>InsectAosujiageha</t>
  </si>
  <si>
    <t>FtrInsectAosujiageha</t>
  </si>
  <si>
    <t>vgkW2eovbpxNuGsFZ</t>
  </si>
  <si>
    <t>common butterfly</t>
  </si>
  <si>
    <t>The common butterfly would have you believe it is but a beautiful friend flitting prettily about the flowers. Bah, I say! They may seem innocent things with their pretty white wings, but they hide a dark side! The common butterfly caterpillar is called a cabbage worm, you see, and it's a most voracious pest. The ravenous beasts chew through cabbage, broccoli, kale and the like with a devastating gusto. And my feathers! Their green coloring is truly GROSS! A hoo-rrific hue, I say.</t>
  </si>
  <si>
    <t>I caught a common butterfly! They often flutter by!</t>
  </si>
  <si>
    <t>Ins0</t>
  </si>
  <si>
    <t>InsectMonshirocho</t>
  </si>
  <si>
    <t>FtrInsectMonshirocho</t>
  </si>
  <si>
    <t>tRJxp5N9XbwAGQHZc</t>
  </si>
  <si>
    <t>cricket</t>
  </si>
  <si>
    <t>I say, where shall I start with the cricket? Well, to begin with, they are mostly nocturnal creatures. And for that you day-loving diurnal types should be grateful! Hoo! It means you don't have to lay eyes upon their prickly legs or overly long antennae like us night owls! Of course, crickets are best known for the chirping sound they make by rubbing their wings together. Some find the noise lovely to listen to. Alas, it only serves to remind me of another unpleasant fact... Which is to say...you will find a cricket's ears right next to its knees! I've gone weak in the knees at the mention of it!</t>
  </si>
  <si>
    <t>I caught a cricket! What a chirp thrill!</t>
  </si>
  <si>
    <t>Ins30</t>
  </si>
  <si>
    <t>InsectKohrogi</t>
  </si>
  <si>
    <t>FtrInsectKohrogi</t>
  </si>
  <si>
    <t>Lr7eFJzJJZpWRWekm</t>
  </si>
  <si>
    <t>cyclommatus stag</t>
  </si>
  <si>
    <t>The cyclommatus stag is known for its giant jaws, which can be even larger than its body. Its round eyes and silver color make it a beloved beetle. Though how one could love a beetle is beyond me. Imagine being pinched by those long jaws, and the pain it would cause! Ouch and ewww!</t>
  </si>
  <si>
    <t>I caught a cyclommatus stag! Those mandibles are a mouthful!</t>
  </si>
  <si>
    <t>Ins49</t>
  </si>
  <si>
    <t>InsectHosoakakuwagata</t>
  </si>
  <si>
    <t>FtrInsectHosoakakuwagata</t>
  </si>
  <si>
    <t>moBevd7J5hwpHeLcs</t>
  </si>
  <si>
    <t>damselfly</t>
  </si>
  <si>
    <t>The colorful damselfly is similar to its cousin, the dragonfly, though it tends to be smaller and thinner. But don't let the delicate looks fool you! Much like the dragonfly, the damselfly is a ruthless predator. It loves to catch flies midair and eat them, and has been known to snack on spiders it plucks from the web! In short, it is not a dinner guest I would recommend... And it is not a menu I could keep down.</t>
  </si>
  <si>
    <t>I caught a damselfly! Now it's a damselfly in distress!</t>
  </si>
  <si>
    <t>Ins81</t>
  </si>
  <si>
    <t>InsectItotonbo</t>
  </si>
  <si>
    <t>FtrInsectItotonbo</t>
  </si>
  <si>
    <t>pBmqsa7CyeKzyRjDT</t>
  </si>
  <si>
    <t>darner dragonfly</t>
  </si>
  <si>
    <t>40</t>
  </si>
  <si>
    <t>The darner dragonfly is a very fast dragonfly, flying at speeds up to 40 miles per hour! They all have a distinctive green hue, but the males have blue underbellies while females have yellow ones. It all sounds pleasant enough, no? Well, did you know their young eat tadpoles...and even some small fish! Worse, these creepy carnivores will eat each other in a pinch! Grotesque does not describe it...</t>
  </si>
  <si>
    <t>I caught a darner dragonfly! It better watch its mouth!</t>
  </si>
  <si>
    <t>Ins23</t>
  </si>
  <si>
    <t>InsectGinyanma</t>
  </si>
  <si>
    <t>FtrInsectGinyanma</t>
  </si>
  <si>
    <t>723NiWMh4iY9RJtAM</t>
  </si>
  <si>
    <t>diving beetle</t>
  </si>
  <si>
    <t>On rivers/ponds</t>
  </si>
  <si>
    <t>8 AM – 7 PM</t>
  </si>
  <si>
    <t>Ah, the dastardly diving beetle! Famous for its distinctive round shape...and its voracious appetite. This powerful predator uses thick back legs covered in hairs to paddle after its prey. And it uses suction cups on its front legs to grip its quarry for good. My own legs have gone weak thinking about it...</t>
  </si>
  <si>
    <t>I caught a diving beetle! Now I'm making a splash!</t>
  </si>
  <si>
    <t>Ins28</t>
  </si>
  <si>
    <t>InsectGengorou</t>
  </si>
  <si>
    <t>FtrInsectGengorou</t>
  </si>
  <si>
    <t>CBjt7itnPqEtNznrX</t>
  </si>
  <si>
    <t>drone beetle</t>
  </si>
  <si>
    <t>I must say, the drone beetle is like that boorish acquaintance who is much too loud for polite company. That is, it is a large bug with a square head and is so named for the droning noise it makes when it flies. Furthermore, it has hooks on its feet that help it to cling tightly to trees. HOOK FEET... How gauche!</t>
  </si>
  <si>
    <t>I caught a drone beetle! Shouldn't you have more propellers?</t>
  </si>
  <si>
    <t>Ins75</t>
  </si>
  <si>
    <t>InsectKanabun</t>
  </si>
  <si>
    <t>FtrInsectKanabun</t>
  </si>
  <si>
    <t>uXmtRAQgY3g596tov</t>
  </si>
  <si>
    <t>dung beetle</t>
  </si>
  <si>
    <t>Pushing snowballs</t>
  </si>
  <si>
    <t>What can I say? The aptly-named dung beetle feeds on the feces of animals. Hoo! You heard right! This putrid pest rolls up balls of dung...and then rolls them away to dine on at a later date. As if that weren't atrocious enough, some dung beetles lay their eggs in the feces too! What a dreadful place to raise the young.</t>
  </si>
  <si>
    <t>I caught a dung beetle! This species likes feces!</t>
  </si>
  <si>
    <t>Ins40</t>
  </si>
  <si>
    <t>InsectFunkorogashi</t>
  </si>
  <si>
    <t>FtrInsectFunkorogashi</t>
  </si>
  <si>
    <t>p9RhE8wLWpHtcoq5G</t>
  </si>
  <si>
    <t>earth-boring dung beetle</t>
  </si>
  <si>
    <t>Earth-boring dung beetles are considered quite handsome by some, thanks to their metallic luster. In fact, some even think them to be good omens and bringers of favorable fortune. But I must protest! These field- ravaging pests love to burrow under piles of dung and lay their eggs. They raise their young under DUNG! Need I say more? Ick. I think not.</t>
  </si>
  <si>
    <t>I caught an earth-boring dung beetle! It's not boring at all!</t>
  </si>
  <si>
    <t>Purple</t>
  </si>
  <si>
    <t>Ins42</t>
  </si>
  <si>
    <t>InsectOhsenchikogane</t>
  </si>
  <si>
    <t>FtrInsectSenchikogane</t>
  </si>
  <si>
    <t>k2fqxdYnTF8BpHB7u</t>
  </si>
  <si>
    <t>emperor butterfly</t>
  </si>
  <si>
    <t>The emperor butterfly is called the jewel of the forest. But its vivid blue hue... Ewww, let me tell you! The color does not come from a dye, but rather from light reflecting off layers of translucent scales. Yes, butterfly wings are covered in tiny scales! SCALES! Butterfly? Bah! More like snake of the sky!</t>
  </si>
  <si>
    <t>I caught an emperor butterfly! It's not your average monarch!</t>
  </si>
  <si>
    <t>Ins5</t>
  </si>
  <si>
    <t>InsectMorufuocho</t>
  </si>
  <si>
    <t>FtrInsectMorufuocho</t>
  </si>
  <si>
    <t>Lwkf7oQ3mcWYm6eEY</t>
  </si>
  <si>
    <t>evening cicada</t>
  </si>
  <si>
    <t>4 AM – 8 AM; 4 PM – 7 PM</t>
  </si>
  <si>
    <t>The evening cicada certainly knows how to ruin a quiet moment. As the sun sets, it strikes up a sad song so sonorous, one can't hear one's own thoughts! I'd feel sorry for its melancholy moods if it weren't so very vocal about how it feels. Ugh, please pipe down...</t>
  </si>
  <si>
    <t>I caught an evening cicada! Better than an odding cicada...; I caught an evening cicada! This time it's WETTER than an odding cicada.</t>
  </si>
  <si>
    <t>Ins20</t>
  </si>
  <si>
    <t>InsectHigurashi</t>
  </si>
  <si>
    <t>FtrInsectHigurashi</t>
  </si>
  <si>
    <t>kzX4apD9C3Nq8khzR</t>
  </si>
  <si>
    <t>firefly</t>
  </si>
  <si>
    <t>200</t>
  </si>
  <si>
    <t>The firefly isn't a fly at all! It is a beetle, you see—and one known for its ghastly glowing backside. This light is called "bioluminescence" and it is caused by...by...a chemical reaction in the rump. Males flash about in the night sky to attract females, while their larvae turn on the glow to put off predators. Speaking of their yucky young, firefly larvae love to dine on snails! Hoo! Ewwww!</t>
  </si>
  <si>
    <t>I caught a firefly! I'm on fire now!</t>
  </si>
  <si>
    <t>Ins41</t>
  </si>
  <si>
    <t>InsectHotaru</t>
  </si>
  <si>
    <t>FtrInsectHotaru</t>
  </si>
  <si>
    <t>PgiwPqykwafyz5EL6</t>
  </si>
  <si>
    <t>flea</t>
  </si>
  <si>
    <t>On villagers</t>
  </si>
  <si>
    <t>5–10</t>
  </si>
  <si>
    <t>Allow me to be blunt. The flea is foul! It is also disgusting, repugnant, and vile! Hoo! But I digress... This horrid pest sucks the blood of humans and animals. In fact, it is the flea's own saliva that makes us itch! And did you know their legs are so strong, they can jump more than 50 times their body length? So you see, it's all too easy for a flea to jump from you to me! I itch at the very thought.</t>
  </si>
  <si>
    <t>I caught a flea! The curse is lifted.</t>
  </si>
  <si>
    <t>Ins56</t>
  </si>
  <si>
    <t>InsectNomi</t>
  </si>
  <si>
    <t>FtrInsectNomi</t>
  </si>
  <si>
    <t>QzDywoJEAJDcjGfEF</t>
  </si>
  <si>
    <t>fly</t>
  </si>
  <si>
    <t>Flying near trash (boots, tires, cans, used fountain fireworks) or rotten turnips</t>
  </si>
  <si>
    <t>The foul fly is quite the disquieting creature. I tell you, it tastes its food with its feet! Yeep! In fact, when flies rub their legs together, they do so to get rid of debris blocking their taste receptors. And did you know, their hairy toes release a sticky goo so they can walk on any surface? Even your ceiling! This gross goo gets on your food too!</t>
  </si>
  <si>
    <t>I caught a fly! I was just wingin' it...</t>
  </si>
  <si>
    <t>Ins59</t>
  </si>
  <si>
    <t>InsectHae</t>
  </si>
  <si>
    <t>FtrInsectHae</t>
  </si>
  <si>
    <t>xdBmuMgXJ6jGxpabK</t>
  </si>
  <si>
    <t>giant cicada</t>
  </si>
  <si>
    <t>The giant cicada is rather aptly named. That is, it's a truly enormous bug. Ugh! These beasts spend most of their lives underground where they gorge on tree roots. But once they emerge, they make an awful racket. In fact, some say their song sounds like a shrieking siren. I would rather listen to nails on a chalkboard.</t>
  </si>
  <si>
    <t>I caught a giant cicada! I guess it's PRETTY big...; I caught a giant cicada! Guess it doesn't feel like singing in the rain!</t>
  </si>
  <si>
    <t>Ins65</t>
  </si>
  <si>
    <t>InsectKumazemi</t>
  </si>
  <si>
    <t>FtrInsectKumazemi</t>
  </si>
  <si>
    <t>nPm2r7idGshQW87MN</t>
  </si>
  <si>
    <t>giant stag</t>
  </si>
  <si>
    <t>11 PM – 8 AM</t>
  </si>
  <si>
    <t>It is said the giant stag is a popular pet among bug enthusiasts. Though how one might consider oneself enthusiastic about bugs is quite beyond me... But I digress. Giant stags look fearsome with their enormous curved mandibles. But in truth, they're really quite cowardly. Oh how they love to hide away in rotting wood, only to reveal themselves under the cover of dark. Hoot! I shall never turn off the lights again!</t>
  </si>
  <si>
    <t>Whoaaa! I caught a giant stag! I'm gonna need way bigger pockets...</t>
  </si>
  <si>
    <t>Ins47</t>
  </si>
  <si>
    <t>InsectOhkuwagata</t>
  </si>
  <si>
    <t>FtrInsectOhkuwagata</t>
  </si>
  <si>
    <t>KhrTLzayFz23zz2kn</t>
  </si>
  <si>
    <t>giant water bug</t>
  </si>
  <si>
    <t>7 PM – 8 AM</t>
  </si>
  <si>
    <t>How to put this gently? Ah yes... BEWARE the giant water bug! I tell you, this vicious predator has been known to attack fish, frogs, and even snakes! SNAKES! Truth be told, no one is safe! Its nickname is "the toe-biter," for goodness sakes! Now, one final fact before I faint... The gruesome bug uses its nose...to inject its prey...with digestive juices. Hoo... Must stop thinking about...the unthinkable.</t>
  </si>
  <si>
    <t>I caught a giant water bug! It should've stayed in the water!</t>
  </si>
  <si>
    <t>Ins76</t>
  </si>
  <si>
    <t>InsectTagame</t>
  </si>
  <si>
    <t>FtrInsectTagame</t>
  </si>
  <si>
    <t>ZsDdBvqAjZMG8EQkZ</t>
  </si>
  <si>
    <t>giraffe stag</t>
  </si>
  <si>
    <t>The giraffe stag beetle is a bug of preposterous proportions. Not only is its body rather large, it has two long, jagged jaws that can put it over five inches in size! The giraffe stag beetle's long jaws have been compared to the long neck of the giraffe...hence the name. But I say such comparisons are a stretch. Giraffe necks are NOT lined with spikes! If I were a giraffe, I would protest.</t>
  </si>
  <si>
    <t>I caught a giraffe stag! Does that make it a longhorn?</t>
  </si>
  <si>
    <t>Ins77</t>
  </si>
  <si>
    <t>InsectGirafanokogirikuwagata</t>
  </si>
  <si>
    <t>FtrInsectGirafanokogirikuwagata</t>
  </si>
  <si>
    <t>PSChjzMhGwhnsHTs4</t>
  </si>
  <si>
    <t>golden stag</t>
  </si>
  <si>
    <t>Yes. Yes. The golden stag beetle is quite the prize thanks to its metallic gold coloring. But let me speak plainly... The golden stag is NOT made of gold. It is made of BUG, through and through. And thus it is vile! Golden stag? Bah! Gross stag is more like it.</t>
  </si>
  <si>
    <t>Wooooow! I caught a golden stag! Does this mean I can retire?</t>
  </si>
  <si>
    <t>Ins50</t>
  </si>
  <si>
    <t>InsectOugononikuwagata</t>
  </si>
  <si>
    <t>FtrInsectOugononikuwagata</t>
  </si>
  <si>
    <t>2C8cSphidFCBPxYEe</t>
  </si>
  <si>
    <t>goliath beetle</t>
  </si>
  <si>
    <t>Hoo! Ewww! The goliath beetle is a colossal creature that can grow up to four inches long. Yes, they love to sup on sap and pollen, and frolic among the flowers. But did you know, the goliath beetle has a horn upon its head that it uses to fight its foes? And picture this... Each one of this behemoth's legs ends in pincers! Deep...calming...breaths...</t>
  </si>
  <si>
    <t>I caught a goliath beetle! Am I a legend or what?</t>
  </si>
  <si>
    <t>Red</t>
  </si>
  <si>
    <t>Ins55</t>
  </si>
  <si>
    <t>InsectGoraiasuohtsunohanamuguri</t>
  </si>
  <si>
    <t>FtrInsectGoraiasuohtsunohanamuguri</t>
  </si>
  <si>
    <t>wZQMZfhtRyPFAapmF</t>
  </si>
  <si>
    <t>grasshopper</t>
  </si>
  <si>
    <t>Grasshoppers are known for making a "chirping" sound. Though it doesn't sound like chirping to me... They make this rude racket by rubbing their hind legs against their wings. And though they eat seeds and pollen, they sometimes prey on smaller insects too. I say! Such violent table manners should not be tolerated! Horrible hoppers.</t>
  </si>
  <si>
    <t>I caught a grasshopper! They're a grass act!</t>
  </si>
  <si>
    <t>Ins32</t>
  </si>
  <si>
    <t>InsectKirigirisu</t>
  </si>
  <si>
    <t>FtrInsectKirigirisu</t>
  </si>
  <si>
    <t>zkzSLJPkkcwXwShKc</t>
  </si>
  <si>
    <t>great purple emperor</t>
  </si>
  <si>
    <t>The great purple emperor lives high in the treetops and is renowned for its pretty purple-hued wings. Its impressive bird-like wingspan and elusive nature have made it a favorite among butterfly aficionados. But truth be told, the so-called great purple emperor has some not-so-great personal peculiarities. For one...it has two horrid HORNS upon its head when it is in its caterpillar form. For two...it has been known to dine on feces and animal carcasses! Hoo! That's why I call it the Emperor of EWWW!</t>
  </si>
  <si>
    <t>I caught a great purple emperor! Its purple reign is over now!</t>
  </si>
  <si>
    <t>Ins74</t>
  </si>
  <si>
    <t>InsectOhmurasaki</t>
  </si>
  <si>
    <t>FtrInsectOhmurasaki</t>
  </si>
  <si>
    <t>ZSre7sheZoRqsJwHQ</t>
  </si>
  <si>
    <t>hermit crab</t>
  </si>
  <si>
    <t>Disguised on shoreline</t>
  </si>
  <si>
    <t>25</t>
  </si>
  <si>
    <t>The hermit crab is not an insect... Though it most certainly resembles one. Blech! It looks much like a spider—what with its creepy eyes and crawly legs—but is, in fact, a crustacean. As such, the hermit crab has 10 legs and also wears a shell. But it doesn't grow this shell itself. It slips its soft body into shells left behind by snails, you see, and moves into ever-larger ones as it grows. Talk about a strange way to make a home.</t>
  </si>
  <si>
    <t>I caught a hermit crab! I think it wanted to be left alone!</t>
  </si>
  <si>
    <t>Ins66</t>
  </si>
  <si>
    <t>InsectYadokari</t>
  </si>
  <si>
    <t>FtrInsectYadokari</t>
  </si>
  <si>
    <t>TzbsfYgE4k2qo7fHN</t>
  </si>
  <si>
    <t>honeybee</t>
  </si>
  <si>
    <t>Did you know it takes a team of honeybees working together to transform flower nectar into honey? Indeed, forager bees suck nectar from flowers into their "honey stomachs" and then fly it to the hive. Hive bees then chew the substance and spit it into the honeycomb, fluttering their wings to dry it out. Yes, you could say honey is a tasty tribute to the hard work of the humble honeybee. Oh! Oh my! You mustn't confuse my lengthy description for admiration! At the end of the day, honeybees are still insects, and thus still ghastly! A wee bit less ghastly than most, I admit.</t>
  </si>
  <si>
    <t>I caught a honeybee! Ah, sweet success!</t>
  </si>
  <si>
    <t>Ins11</t>
  </si>
  <si>
    <t>InsectMitsubachi</t>
  </si>
  <si>
    <t>FtrInsectMitsubachi</t>
  </si>
  <si>
    <t>yeWiAiqDRwinvumDm</t>
  </si>
  <si>
    <t>horned atlas</t>
  </si>
  <si>
    <t>Beware the horned atlas! I tell you, this rhinoceros beetle is known for its violent temperament! The males use the three large horns on their heads to fight amongst each other for dominance. But it is their young that truly give me the cold sweats. You see, their larvae grow quite large and, worst of all...they bite! It is the stuff of nightmares, I say.</t>
  </si>
  <si>
    <t>I caught a horned atlas! I didn't even need a map!</t>
  </si>
  <si>
    <t>Ins52</t>
  </si>
  <si>
    <t>InsectKohkasasuohkabuto</t>
  </si>
  <si>
    <t>FtrInsectKohkasasuohkabuto</t>
  </si>
  <si>
    <t>S93y8gxrSHFNCFmwJ</t>
  </si>
  <si>
    <t>horned dynastid</t>
  </si>
  <si>
    <t>35</t>
  </si>
  <si>
    <t>The horned dynastid's head is shaped like a samurai warrior's helmet, hootie-hoo! It would be a most impressive fact if their large size wasn't so horrifying! Adult males use their huge horned heads for fighting and digging, while the females have no such need. As for their larvae and pupae, they too are quite large and feed on rotting wood at a tremendous pace. A foul feast, indeed!</t>
  </si>
  <si>
    <t>I caught a horned dynastid! I'd hate to hear it honk that schnoz!</t>
  </si>
  <si>
    <t>Ins51</t>
  </si>
  <si>
    <t>InsectKabutomushi</t>
  </si>
  <si>
    <t>FtrInsectKabutomushi</t>
  </si>
  <si>
    <t>zaG8qsKLpbTjysx7D</t>
  </si>
  <si>
    <t>horned elephant</t>
  </si>
  <si>
    <t>The horned elephant beetle certainly lives up to its namesake. Not only does the horn on its head resemble the trunk of an elephant... It is also one of the heaviest beetles in the world! Size aside, allow me to reveal the real reason I find horned elephant beetles so repugnant... Their backs are covered in a fine coat of hair! Hirsute beetles! Hoot! The horror!</t>
  </si>
  <si>
    <t>I caught a horned elephant! I think it's too small to ride...</t>
  </si>
  <si>
    <t>Ins53</t>
  </si>
  <si>
    <t>InsectZoukabuto</t>
  </si>
  <si>
    <t>FtrInsectZoukabuto</t>
  </si>
  <si>
    <t>M7SHXNEMf78nJD6fE</t>
  </si>
  <si>
    <t>horned hercules</t>
  </si>
  <si>
    <t>The horned hercules is not only known for its tremendous strength, but for its size as well. It can grow up to seven inches long and has powerful pincers covered in hair that help with gripping! As if this weren't ghastly enough, these behemoth beetles let loose a foul odor that fends off enemies... And offends my sense of smell.</t>
  </si>
  <si>
    <t>I caught a horned hercules! Guess I was stronger!</t>
  </si>
  <si>
    <t>Ins54</t>
  </si>
  <si>
    <t>InsectHerakuresuohkabuto</t>
  </si>
  <si>
    <t>FtrInsectHerakuresuohkabuto</t>
  </si>
  <si>
    <t>TqhEomNEMDZ2wcTpk</t>
  </si>
  <si>
    <t>jewel beetle</t>
  </si>
  <si>
    <t>The green shimmer of the jewel beetle's wings is nothing short of nauseating...yes? No? Well, so says you. Though...jewel beetles were once prized by collectors who turned their iridescent wings into pretty jewelry. Why anyone would want to wear bug parts on their body is beyond me. Fashion foul indeed.</t>
  </si>
  <si>
    <t>I caught a jewel beetle! It's a real gem!</t>
  </si>
  <si>
    <t>Ins44</t>
  </si>
  <si>
    <t>InsectTamamushi</t>
  </si>
  <si>
    <t>FtrInsectTamamushi</t>
  </si>
  <si>
    <t>TYFowxRG4ydcvotkQ</t>
  </si>
  <si>
    <t>ladybug</t>
  </si>
  <si>
    <t>On flowers</t>
  </si>
  <si>
    <t>Yes. Yes. Ladybugs are quite beloved thanks to their tiny round shape and adorable spots. To that I say BAH! The fact of the matter is, some have stripes instead of spots. And SOME have no markings at all! No, I shall never understand why it is said that when a ladybug lands on you...you'll have good luck. I shall only have a fainting spell.</t>
  </si>
  <si>
    <t>I caught a ladybug! Sorry to disturb you, ma'am.</t>
  </si>
  <si>
    <t>Ins37</t>
  </si>
  <si>
    <t>InsectTentoumushi</t>
  </si>
  <si>
    <t>FtrInsectTentoumushi</t>
  </si>
  <si>
    <t>pYSSbvXzkuFneRvQ7</t>
  </si>
  <si>
    <t>long locust</t>
  </si>
  <si>
    <t>As if the average locust weren't large enough...we must suffer the long locust too! The wretched beasts are known for their unusually long hind legs as well as their elongated heads. But that is hardly the long locusts' worst trait... I tell you, they spit brown goo when they're scared!</t>
  </si>
  <si>
    <t>I caught a long locust! Or, as I call it, a looooocust.</t>
  </si>
  <si>
    <t>Ins13</t>
  </si>
  <si>
    <t>InsectShoryobatta</t>
  </si>
  <si>
    <t>FtrInsectShoryobatta</t>
  </si>
  <si>
    <t>Q57sgq4hQTNZAqWXj</t>
  </si>
  <si>
    <t>Madagascan sunset moth</t>
  </si>
  <si>
    <t>8 AM – 4 PM</t>
  </si>
  <si>
    <t>The Madagascan sunset moth is said to be the most beautiful moth in the world...a sentiment even I can't deny. While most moths are nocturnal, this one flutters about during the day, making good use of the light. That is, when the daylight reflects off its wings, a kaleidoscope of colors are revealed! Oh! Eh...too bad it has such startling red feet as a caterpillar. I might have found it almost tolerable otherwise. Almost, but not quite.</t>
  </si>
  <si>
    <t>I caught a Madagascan sunset moth! Wow, you're not from around here!</t>
  </si>
  <si>
    <t>Ins79</t>
  </si>
  <si>
    <t>InsectNishikiohtsubamega</t>
  </si>
  <si>
    <t>FtrInsectNishikiohtsubamega</t>
  </si>
  <si>
    <t>EFWMygLqnJinFoXSW</t>
  </si>
  <si>
    <t>man-faced stink bug</t>
  </si>
  <si>
    <t>20</t>
  </si>
  <si>
    <t>Never mind this stink bug's smell. What you have here is a bug...with a FACE...on its BACK!! Wot-wot! Simply put, the man-faced stink bug has markings on its shell that resemble a human face. Once you notice this face, you cannot UN-notice it. Indeed, this face might haunt you forever. At least the face will distract you from the stink.</t>
  </si>
  <si>
    <t>I caught a man-faced stink bug! Reminds me of my uncle!</t>
  </si>
  <si>
    <t>Ins78</t>
  </si>
  <si>
    <t>InsectJinmenkamemushi</t>
  </si>
  <si>
    <t>FtrInsectJinmenkamemushi</t>
  </si>
  <si>
    <t>zvr84Jvf4s6K23XJ5</t>
  </si>
  <si>
    <t>mantis</t>
  </si>
  <si>
    <t>Hoo! Don't let the mantis's angelic pose fool you...for it is truly monstrous. The mantis is known for its large size and tremendous strength...and for sickle-like arms that pack a punch. And though they tend to eat bugs and spiders...mantises have been known to dine on small animals too! And those eerie eyes! Oh my! Did you know it has five of them! Two big ones and three small! I shall faint if I think on it further...</t>
  </si>
  <si>
    <t>I caught a mantis! Man, 'tis so cool!</t>
  </si>
  <si>
    <t>Ins15</t>
  </si>
  <si>
    <t>InsectKamakiri</t>
  </si>
  <si>
    <t>FtrInsectKamakiri</t>
  </si>
  <si>
    <t>Qko2mfz7SaESpMcCv</t>
  </si>
  <si>
    <t>migratory locust</t>
  </si>
  <si>
    <t>Ah yes, the lone migratory locust. It seems like such a harmless hopper as it bounces about in the grass. But beware! When these pests band together and travel in swarms, they leave devastation in their wake! Migratory locusts have gathered by the millions throughout history, wiping out crops and causing famine. That's why I always say, "Never let a locust hang out with its friends!". That is precisely how a plague begins.</t>
  </si>
  <si>
    <t>I caught a migratory locust! Things just went south for this guy!</t>
  </si>
  <si>
    <t>Ins14</t>
  </si>
  <si>
    <t>InsectTonosamabatta</t>
  </si>
  <si>
    <t>FtrInsectTonosamabatta</t>
  </si>
  <si>
    <t>dkGagcjd7aZwFEszw</t>
  </si>
  <si>
    <t>miyama stag</t>
  </si>
  <si>
    <t>The miyama stag has protrusions on its head that resemble ears... And yet, the ugly lumps are not ears! It is, however, called a "stag" beetle because of the large, deer-like horns upon its head. And the word "miyama" in its name means "deep mountain" in Japanese. Feel free to call it what you like. I will simply call it DISGUSTING. "Disgusting stag beetle" does have a ring.</t>
  </si>
  <si>
    <t>I caught a miyama stag! Its mandibles are jaw-dropping!</t>
  </si>
  <si>
    <t>Ins45</t>
  </si>
  <si>
    <t>InsectMiyamakuwagata</t>
  </si>
  <si>
    <t>FtrInsectMiyamakuwagata</t>
  </si>
  <si>
    <t>qRGGm6MfuP4Aqdk3M</t>
  </si>
  <si>
    <t>mole cricket</t>
  </si>
  <si>
    <t>Underground (dig where noise is loudest)</t>
  </si>
  <si>
    <t>Be warned, there is nowhere one might hide from the mole cricket. This plump pest has powerful front claws made for digging holes, and oh how it loves to burrow underground! A cousin to the grasshopper, it also has wings and can easily take to the air. And I swear this on my pinfeathers... Some have even been seen walking on water! Oh mercy, I may need a moment. This is making me feel rather woozy...</t>
  </si>
  <si>
    <t>I caught a mole cricket! I really dug it!</t>
  </si>
  <si>
    <t>Ins33</t>
  </si>
  <si>
    <t>InsectOkera</t>
  </si>
  <si>
    <t>FtrInsectOkera</t>
  </si>
  <si>
    <t>HMWPGeeKw9LP6ucSq</t>
  </si>
  <si>
    <t>monarch butterfly</t>
  </si>
  <si>
    <t>4 AM – 5 PM</t>
  </si>
  <si>
    <t>Did you know the monarch butterfly migrates south for the winter and returns north for the summer? Indeed, these horrid orange beasties do not tolerate the cold and travel 3,000 miles to escape the winter. During the journey, they cluster together in trees by the thousands just to stay warm. Imagine! Hordes of the foul flittering fiends huddled together in one place! If only they'd put on tiny coats instead.</t>
  </si>
  <si>
    <t>I caught a monarch butterfly! Guess the butterflies are a democracy now!</t>
  </si>
  <si>
    <t>Ins4</t>
  </si>
  <si>
    <t>InsectOhkabamadara</t>
  </si>
  <si>
    <t>FtrInsectOhkabamadara</t>
  </si>
  <si>
    <t>BJPKSZMZ2tkLXkWjL</t>
  </si>
  <si>
    <t>mosquito</t>
  </si>
  <si>
    <t>5 PM – 4 AM</t>
  </si>
  <si>
    <t>As everyone knows, the mosquito is a vampiric pest that sucks blood from innocent bystanders. But did you know that only the females suck blood? Hoo! It's true! They need it to make their eggs. When they sink their snout into our skin, they inject us with a saliva that helps them slurp up their meal. It's that saliva that makes us itch and scratch, you know. Hoo! So rude!</t>
  </si>
  <si>
    <t>I caught a mosquito! It's itching for a fight!</t>
  </si>
  <si>
    <t>Ins58</t>
  </si>
  <si>
    <t>InsectKa</t>
  </si>
  <si>
    <t>FtrInsectKa</t>
  </si>
  <si>
    <t>3mMZ74qpWWnoizJHh</t>
  </si>
  <si>
    <t>moth</t>
  </si>
  <si>
    <t>Flying near light sources</t>
  </si>
  <si>
    <t>Many think the moth is strictly a nocturnal creature. Alas, no! These frightful fluttering beasts have been known to haunt the daylight and twilight hours too. Thus, there is no time of day one might escape the moth trait I dislike most of all—those feathery antennae! The mere thought of them gives my feathers goosebumps. And I'm no goose.</t>
  </si>
  <si>
    <t>I caught a moth! And I had a ball doing it!</t>
  </si>
  <si>
    <t>Ins9</t>
  </si>
  <si>
    <t>InsectGa</t>
  </si>
  <si>
    <t>FtrInsectGa</t>
  </si>
  <si>
    <t>7Kd97rqbYBuzuCHgf</t>
  </si>
  <si>
    <t>orchid mantis</t>
  </si>
  <si>
    <t>On white flowers</t>
  </si>
  <si>
    <t>15</t>
  </si>
  <si>
    <t>The orchid mantis is a bug whose brilliant colors and petal-shaped limbs give it the look of a flower. This masterful mimicry allows it to hide from predators in among the orchids. But oh this fraudulent flower! It lures other insects in to drink its nectar... And makes a meal of them instead! Imagine! To behold a beautiful bud... only to discover it's a bug instead! A repulsive revelation indeed!</t>
  </si>
  <si>
    <t>I caught an orchid mantis! Our friendship is blooming!</t>
  </si>
  <si>
    <t>Ins16</t>
  </si>
  <si>
    <t>InsectHanakamakiri</t>
  </si>
  <si>
    <t>FtrInsectHanakamakiri</t>
  </si>
  <si>
    <t>9b4v6nMrrThHEtNbB</t>
  </si>
  <si>
    <t>paper kite butterfly</t>
  </si>
  <si>
    <t>With its black-and-white-striped wing pattern, the paper kite butterfly is both elegant and pretty... PRETTY POISONOUS I MEAN! Hoo dear! Where was I? Oh yes... Even this butterfly's black-and-white-striped larva and little golden pupae are toxic to predators. Indeed, the paper kite butterfly's foul flavor is famous, and thus birds, in particular, steer clear of the fiends. THIS bird most of all!</t>
  </si>
  <si>
    <t>I caught a paper kite butterfly! Do I read it, fly it, or spreadit on toast?</t>
  </si>
  <si>
    <t>Ins73</t>
  </si>
  <si>
    <t>InsectOhgomamadara</t>
  </si>
  <si>
    <t>FtrInsectOhgomamadara</t>
  </si>
  <si>
    <t>hzwridDJE99rPHLrZ</t>
  </si>
  <si>
    <t>peacock butterfly</t>
  </si>
  <si>
    <t>Flying near blue/purple/black flowers</t>
  </si>
  <si>
    <t>Pretty as a peacock? Bah, I say! The wings of the peacock butterfly may have a pattern similar to that of the beautiful bird... But its forewings are also often covered in a dark, velvety hair! You heard right! HAIRY wings! A hair-raising revelation indeed!</t>
  </si>
  <si>
    <t>I caught a peacock butterfly! Now it's my turn to strut my stuff!</t>
  </si>
  <si>
    <t>Ins3</t>
  </si>
  <si>
    <t>InsectKarasuageha</t>
  </si>
  <si>
    <t>FtrInsectKarasuageha</t>
  </si>
  <si>
    <t>rguKzmnRkGmBMKzyE</t>
  </si>
  <si>
    <t>pill bug</t>
  </si>
  <si>
    <t>11 PM – 4 PM</t>
  </si>
  <si>
    <t>Blech, the pill bug! Children delight at the way these beasts roll into balls when poked... But the appeal is utterly lost on me. One look at their leggy undersides... Hoo! Ewww! How they wriggle! Young pill bugs shed their exo- skeletons as they grow, and in doing so, sprout another pair of legs. As if 12 appendages weren't alarming enough! Yuck, I say. Yuck!</t>
  </si>
  <si>
    <t>I caught a pill bug! That's a tough act to swallow!</t>
  </si>
  <si>
    <t>Ins57</t>
  </si>
  <si>
    <t>InsectDangomushi</t>
  </si>
  <si>
    <t>FtrInsectDangomushi</t>
  </si>
  <si>
    <t>SGHXhcTzaNJD2z926</t>
  </si>
  <si>
    <t>pondskater</t>
  </si>
  <si>
    <t>Putrid pondskaters! They walk on water, you know...which is most preposterous! It is a trick they perform by secreting oil onto the hairs of their feet. To which I say BLEEECH! And one must wonder... What will they do next? Walk on air? Walk through walls? Perish the thought...</t>
  </si>
  <si>
    <t>I caught a pondskater! Wonder if it can do a pond ollie...</t>
  </si>
  <si>
    <t>Ins27</t>
  </si>
  <si>
    <t>InsectAmenbo</t>
  </si>
  <si>
    <t>FtrInsectAmenbo</t>
  </si>
  <si>
    <t>eSBNwiuZforpxNYem</t>
  </si>
  <si>
    <t>Queen Alexandra's birdwing</t>
  </si>
  <si>
    <t>Hoo! The horror! This behemoth butterfly may be called a Queen Alexandra's birdwing... But I call it the Queen of My Nightmares! It is huge! Indeed, the world's hugest. No butterfly can best its foot-long wingspan. The larvae alone grow to more than 4 inches. As if that weren't appalling enough...they're poisonous! Murderous monsters, indeed!</t>
  </si>
  <si>
    <t>I caught a Queen Alexandra's birdwing! That's a feather in my cap!</t>
  </si>
  <si>
    <t>Ins8</t>
  </si>
  <si>
    <t>InsectArekisandoratoribaneageha</t>
  </si>
  <si>
    <t>FtrInsectArekisandoratoribaneageha</t>
  </si>
  <si>
    <t>PbNXeN9GZuJuow7jv</t>
  </si>
  <si>
    <t>rainbow stag</t>
  </si>
  <si>
    <t>Rainbows are beautiful things, I'm sure we all agree. But rainbow stag beetles? Bleech! Yes, yes, this beetle's back and belly shine with a pretty rainbow- colored luster. But that does not change the fact this bug has large pincers on its face and loves to pick a fight! If one can wish upon a rainbow, then I wish to stay far away from the rainbow stag. Perhaps I've picked the wrong profession.</t>
  </si>
  <si>
    <t>I caught a rainbow stag! Its rainbow armor is so shiny!</t>
  </si>
  <si>
    <t>Ins48</t>
  </si>
  <si>
    <t>InsectNijiirokuwagata</t>
  </si>
  <si>
    <t>FtrInsectNijiirokuwagata</t>
  </si>
  <si>
    <t>Egfv6BDtFMeGZPmfh</t>
  </si>
  <si>
    <t>Rajah Brooke's birdwing</t>
  </si>
  <si>
    <t>Did you know that the repulsive Rajah Brooke's birdwing loves to luxuriate in hot-springs water? It's true! Hoo! The males gather in groups to sip the moisture while the females hide in jungle trees. And though they dress to impress in red and green, these fluttering fiends are not just stylish... They're also quite malicious! Their little larvae pack a poisonous punch that's supposed to protect them from predators... But I suspect more diabolical designs.</t>
  </si>
  <si>
    <t>I caught a Rajah Brooke's birdwing! Nothing else I'd rajah be doing!</t>
  </si>
  <si>
    <t>Ins7</t>
  </si>
  <si>
    <t>InsectAkaeritoribaneageha</t>
  </si>
  <si>
    <t>FtrInsectAkaeritoribaneageha</t>
  </si>
  <si>
    <t>gLpHgXT4pPXP4XfWQ</t>
  </si>
  <si>
    <t>red dragonfly</t>
  </si>
  <si>
    <t>80</t>
  </si>
  <si>
    <t>I won't deny that the wretched red dragonfly is an elegant aeronaut. It manipulates its four wings quite uniquely so it can hover and maneuver through the air with ease. But the veins on its wings! What ghastly things! One can't help but gasp at the sight of them... Appalling aerodynamics, indeed!</t>
  </si>
  <si>
    <t>I caught a red dragonfly! Didn't even have to roll for initiative!</t>
  </si>
  <si>
    <t>Ins22</t>
  </si>
  <si>
    <t>InsectAkiakane</t>
  </si>
  <si>
    <t>FtrInsectAkiakane</t>
  </si>
  <si>
    <t>PKSHvkPphXteXHKuG</t>
  </si>
  <si>
    <t>rice grasshopper</t>
  </si>
  <si>
    <t>In point of fact, rice grasshoppers are an awful pest! They devour rice plants and wipe out the crucial crop. But revenge is sweet! These bugs are edible, you see, and so some folks eat them as way to get rid of them. When boiled in soy sauce, rice grasshoppers are quite tasty, it's said. Though why anyone would put an insect in their mouth is beyond me. The mere thought gives me the gags!</t>
  </si>
  <si>
    <t>I caught a rice grasshopper! I've been looking for a gluten-free alternative...</t>
  </si>
  <si>
    <t>Ins67</t>
  </si>
  <si>
    <t>InsectInago</t>
  </si>
  <si>
    <t>FtrInsectInago</t>
  </si>
  <si>
    <t>ZxXDxrgPvXEHz24Ni</t>
  </si>
  <si>
    <t>robust cicada</t>
  </si>
  <si>
    <t>The robust cicada got its name from the chirping sound it makes, which is said to be quite...well...robust. But "robust" hardly describes it. Abrasive! Bombastic! Cacophonous! That's more like it! Beside the horrid caterwauling, this bug is known for its long wings, short body, and green coloring. But looking at a robust cicada is just as unpleasant as listening to one. My eyes AND my ears are offended.</t>
  </si>
  <si>
    <t>I caught a robust cicada! It DOES seem pretty lively!; I caught a robust cicada! Not so energetic in the rain, huh?</t>
  </si>
  <si>
    <t>Ins18</t>
  </si>
  <si>
    <t>InsectMinminzemi</t>
  </si>
  <si>
    <t>FtrInsectMinminzemi</t>
  </si>
  <si>
    <t>cd5ymnRmRvT4n4yjB</t>
  </si>
  <si>
    <t>rosalia batesi beetle</t>
  </si>
  <si>
    <t>The rosalia batesi beetle is a type of longhorn beetle, so named for the long antennae upon its head. But did you know that longhorn beetles often grow antennae longer than their very own bodies, wot wot? As if this weren't odious enough, look closely and you will find these antennae...are covered in tufts of hair! Best not look closely, I say.</t>
  </si>
  <si>
    <t>I caught a rosalia batesi beetle! That's easier to do than say!</t>
  </si>
  <si>
    <t>Ins82</t>
  </si>
  <si>
    <t>InsectRuriboshikamikiri</t>
  </si>
  <si>
    <t>FtrInsectRuriboshikamikiri</t>
  </si>
  <si>
    <t>MSTA9vdJmGoDDADrF</t>
  </si>
  <si>
    <t>saw stag</t>
  </si>
  <si>
    <t>The saw stag got its name from the shape of its pincers. That is, its pincers look like jagged saws! And I tell you, the bigger the beetle, the more saw-like teeth its giant jaws have. I say the saw stag seems more at home in a horror film than in nature. I have terrified myself just talking about it.</t>
  </si>
  <si>
    <t>I caught a saw stag! Now I can't unsee it!</t>
  </si>
  <si>
    <t>Ins46</t>
  </si>
  <si>
    <t>InsectNokogirikuwagata</t>
  </si>
  <si>
    <t>FtrInsectNokogirikuwagata</t>
  </si>
  <si>
    <t>YQq3iSiBcBAHTWxc2</t>
  </si>
  <si>
    <t>scarab beetle</t>
  </si>
  <si>
    <t>3</t>
  </si>
  <si>
    <t>Collectors consider the scarab beetle quite the prize, thanks to its shiny metallic shell. But did you know this bug has no nose and uses its antennae to sense smells instead? In fact, the scarab beetle's plated antennae are quite unique and set it apart from other beetles. But ALL antennae are equally awful in my book.</t>
  </si>
  <si>
    <t>I caught a scarab beetle! It's just a dung beetle with better hobbies.</t>
  </si>
  <si>
    <t>Ins43</t>
  </si>
  <si>
    <t>InsectPurachinakogane</t>
  </si>
  <si>
    <t>FtrInsectPurachinakogane</t>
  </si>
  <si>
    <t>2HXdFD8s6BmYYMf4u</t>
  </si>
  <si>
    <t>scorpion</t>
  </si>
  <si>
    <t>The scorpion...how should I put this? Those legs! Those pincers! That tail! And that venomous stinger! It's as if someone took all the most awful insect parts...and put them together to make the scorpion! All scorpions are venomous, you know! Though I understand that only a few kinds are truly deadly. I fear I might die just thinking about it.</t>
  </si>
  <si>
    <t>I caught a scorpion! It was a sting operation!</t>
  </si>
  <si>
    <t>Ins63</t>
  </si>
  <si>
    <t>InsectSasori</t>
  </si>
  <si>
    <t>FtrInsectSasori</t>
  </si>
  <si>
    <t>xMzHsHbjvvicZvYxg</t>
  </si>
  <si>
    <t>snail</t>
  </si>
  <si>
    <t>On rocks/bushes</t>
  </si>
  <si>
    <t>Rain only</t>
  </si>
  <si>
    <t>Snails are not insects, I'll admit. But they're just as revolting to me. Snails are mollusks, you see, and are born wearing shells they cannot remove. Instead, their shells get bigger and bigger as they grow. Hoo! They must get heavy, don't you know! I suppose that's why they need a trail of mucus to move about. A truly foul form of transportation.</t>
  </si>
  <si>
    <t>I caught a snail! It's...not much to brag about.</t>
  </si>
  <si>
    <t>Ins29</t>
  </si>
  <si>
    <t>InsectKatatsumuri</t>
  </si>
  <si>
    <t>FtrInsectKatatsumuri</t>
  </si>
  <si>
    <t>rDNLeQnmJQGxsHpmL</t>
  </si>
  <si>
    <t>spider</t>
  </si>
  <si>
    <t>The spider is renowned for having eight eyes and eight legs... WHICH IS SIX TOO MANY, I SAY! Oh dear. I do apologize. Now where was I? Most spiders are carnivorous. In fact, some will eat creatures several times larger than themselves. To catch their prey, many of these ruthless predators spin sticky webs of surprising strength. Worse yet, they've also been known to ambush their victims, and some even chase down their meals! All this talk about the feeding habits of spiders... I'm feeling quite queasy. Hoot! The horror!</t>
  </si>
  <si>
    <t>I caught a spider! I spied 'er first!</t>
  </si>
  <si>
    <t>Ins61</t>
  </si>
  <si>
    <t>InsectKumo</t>
  </si>
  <si>
    <t>FtrInsectKumo</t>
  </si>
  <si>
    <t>s2u8kDoMQx7GbAJTR</t>
  </si>
  <si>
    <t>stinkbug</t>
  </si>
  <si>
    <t>I daresay the name says it all... Stinkbugs are known for their stench. Hoo! Peeyew! As it happens, these crop-eating pests use straw-like mouths to pierce plants and drink the juices. And when threatened, they use a smelly chemical in their belly to release their odious odor! Hoo! How DO they live with themselves?</t>
  </si>
  <si>
    <t>I caught a stinkbug! It lives up to its name!</t>
  </si>
  <si>
    <t>Ins64</t>
  </si>
  <si>
    <t>InsectKamemushi</t>
  </si>
  <si>
    <t>FtrInsectKamemushi</t>
  </si>
  <si>
    <t>4u5GZ4z3CyaHhMgqj</t>
  </si>
  <si>
    <t>tarantula</t>
  </si>
  <si>
    <t>As giant spiders go, the tarantula is said to be quite docile. But have you ever seen such foul fuzziness?! It is a fact, tarantulas have barbed belly hair! I say again...BARBED. BELLY. HAIR! These awful arachnids let loose their spiky, itchy hairs to protect themselves from predators. But seeing how tarantulas also prey on frogs, mice, and even birds, one must ask... Who needs protecting from whom?! Hoo! Who indeed!</t>
  </si>
  <si>
    <t>I caught a tarantula! This situation just got hairy!</t>
  </si>
  <si>
    <t>Ins62</t>
  </si>
  <si>
    <t>InsectTaranchura</t>
  </si>
  <si>
    <t>FtrInsectTaranchura</t>
  </si>
  <si>
    <t>4mto3ZvrZYpJxbm4c</t>
  </si>
  <si>
    <t>tiger beetle</t>
  </si>
  <si>
    <t>The tiger beetle is extremely fleet of foot, though it runs in a rather peculiar way. That is, it sprints, then stops, then sprints again...using these speedy maneuvers to run down its prey. You see, the tiger beetle—like a real tiger—is a powerful predator. The mere thought of it giving chase gives me the willies. Tigers are terrifying at any size.</t>
  </si>
  <si>
    <t>I caught a tiger beetle! I pounced first!</t>
  </si>
  <si>
    <t>Ins70</t>
  </si>
  <si>
    <t>InsectHanmyou</t>
  </si>
  <si>
    <t>FtrInsectHanmyou</t>
  </si>
  <si>
    <t>zzGvu3797KnMb4LCD</t>
  </si>
  <si>
    <t>tiger butterfly</t>
  </si>
  <si>
    <t>Tiger butterflies are known for their majestic wings, which many consider quite beautiful. Truth be told, I find them monstrous! Those strange striped patterns... They give this owl the goose bumps! And while you may imagine young tiger butterfly larvae to look like lovely green caterpillars...it's not so! Why, when tiger butterflies are but babes, they're covered in unsightly white, brown, and black spots. In this way, they camouflage themselves as...as...bird droppings! Putrid pests, indeed!</t>
  </si>
  <si>
    <t>I caught a tiger butterfly! I've earned my stripes!</t>
  </si>
  <si>
    <t>Ins2</t>
  </si>
  <si>
    <t>InsectAgehacho</t>
  </si>
  <si>
    <t>FtrInsectAgehacho</t>
  </si>
  <si>
    <t>GcSpepwg536mYnNuu</t>
  </si>
  <si>
    <t>violin beetle</t>
  </si>
  <si>
    <t>The violin beetle gets its name from its shape. That is, SOME think it resembles the stringed instrument. If you ask me, this is an insult to violins! With its flat body and small head, the violin beetle looks like nothing but a repulsive bug, plain and simple. In fact it is so repulsive, it oozes a foul liquid when frightened! Ugh! This insect strikes a sour note indeed.</t>
  </si>
  <si>
    <t>I caught a violin beetle! Apparently I'm as fit as a fiddle!</t>
  </si>
  <si>
    <t>Ins38</t>
  </si>
  <si>
    <t>InsectBaiorinmushi</t>
  </si>
  <si>
    <t>FtrInsectBaiorinmushi</t>
  </si>
  <si>
    <t>poAcys5Mr35ELp5PS</t>
  </si>
  <si>
    <t>walker cicada</t>
  </si>
  <si>
    <t>The walker cicada is quite the noisy thing. I tell you, this impolite pest simply canNOT abide the quiet. In the heat of summer, the male strikes up a strange rattling song, hoping to woo a mate. When other male cicadas hear this rhythmic racket, they join right in... As if it were a sing-along! My head aches at the thought of it.</t>
  </si>
  <si>
    <t>I caught a walker cicada! Pffft... I walk all the time and no one calls me "Walker ..."; I caught a walker cicada! It must hate getting its feet wet.</t>
  </si>
  <si>
    <t>Ins19</t>
  </si>
  <si>
    <t>InsectTsukutsukuhousi</t>
  </si>
  <si>
    <t>FtrInsectTsukutsukuhousi</t>
  </si>
  <si>
    <t>QdrL4K7seJHvd4ZZM</t>
  </si>
  <si>
    <t>walking leaf</t>
  </si>
  <si>
    <t>Disguised under trees</t>
  </si>
  <si>
    <t>What a fraud! What a phony! The walking leaf is, in fact, the very embodiment of a lie! This master mimic looks like a tree leaf all the way down to the tiniest details. In fact, this bug has been known to sway to and fro as it walks...just so it looks like a leaf blown by the wind! And the fakery works! These insects look so much like leaves that even leaf-eating insects nibble on them! Lying liars, indeed!</t>
  </si>
  <si>
    <t>I caught a walking leaf! It seems to be taking it in stride!</t>
  </si>
  <si>
    <t>Ins34</t>
  </si>
  <si>
    <t>InsectKonohamushi</t>
  </si>
  <si>
    <t>FtrInsectKonohamushi</t>
  </si>
  <si>
    <t>kuZaMcg2E7ZX56nio</t>
  </si>
  <si>
    <t>walking stick</t>
  </si>
  <si>
    <t>4 AM – 8 AM; 5 PM – 7 PM</t>
  </si>
  <si>
    <t>The walking stick looks just like a twig, does it not? Hoo! It even has knots like a real twig would! These bashful bugs mimic plants in this way to hide from predators. A noble goal, you might say. But though the deceptive wretches fool some, they do not fool me! I see these bugs for what they are... Monsters, plain and simple! I say, did you know that walking sticks can grow to two feet long?! Imagine running into one! Surely I would faint.</t>
  </si>
  <si>
    <t>I caught a walking stick! Check out its walking schtick! Look, these are the jokes, OK?</t>
  </si>
  <si>
    <t>Ins35</t>
  </si>
  <si>
    <t>InsectNanafushi</t>
  </si>
  <si>
    <t>FtrInsectNanafushi</t>
  </si>
  <si>
    <t>WQjgrjYotbwH59vXG</t>
  </si>
  <si>
    <t>wasp</t>
  </si>
  <si>
    <t>Shaking trees</t>
  </si>
  <si>
    <t>Hoo! Allow me to share a fact with you! Wasps are sometimes called "meat bees" because... They. Eat. MEAT! MEAT! Of almost any sort! Surely you've seen what a menace they make of themselves at picnics. 'Tis hardly the worst of it, wot wot! Aggressive predators with venomous stingers, wasps not only hunt and eat other insects... they paralyze their prey, then drag their victims home ALIVE, leaving them for their larva to feed upon. Suddenly a simple sting seems quite tolerable.</t>
  </si>
  <si>
    <t>I caught a wasp! That's gotta sting...</t>
  </si>
  <si>
    <t>Ins12</t>
  </si>
  <si>
    <t>InsectHachi</t>
  </si>
  <si>
    <t>FtrInsectHachi</t>
  </si>
  <si>
    <t>ZEfBHqM6pFEddBezw</t>
  </si>
  <si>
    <t>wharf roach</t>
  </si>
  <si>
    <t>On beach rocks</t>
  </si>
  <si>
    <t>The wharf roach is an omnivore, which is merely a polite way of saying it will eat almost anything. This skittering scavenger and its uncouth appetite help keep beaches clean, it's said. But I dare say, their long antennae and bulging eyes turn MY stomach. Unappetizing indeed...</t>
  </si>
  <si>
    <t>I caught a wharf roach! This water-loving roach has no pier!</t>
  </si>
  <si>
    <t>Ins71</t>
  </si>
  <si>
    <t>InsectFunamushi</t>
  </si>
  <si>
    <t>FtrInsectFunamushi</t>
  </si>
  <si>
    <t>2fp9ChfPuPdYefTK3</t>
  </si>
  <si>
    <t>yellow butterfly</t>
  </si>
  <si>
    <t>Allow me to enlighten you... The yellow butterfly is named for its yellow wings. Need I say more? If I must, then allow me to note that the female yellow butterfly can lay up to 600 eggs at a time! Bleech! And their creepy crawly caterpillars just love to chomp on clover plants. A recipe for disaster, I say. Just imagine reaching for a four-leaf clover, only to touch a larva instead! Yuck! The worst of luck!</t>
  </si>
  <si>
    <t>I caught a yellow butterfly! Shouldn't all BUTTERflies be yellow?</t>
  </si>
  <si>
    <t>Ins1</t>
  </si>
  <si>
    <t>InsectMonkicho</t>
  </si>
  <si>
    <t>FtrInsectMonkicho</t>
  </si>
  <si>
    <t>9d92MqgcnGao8wQjB</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</si>
</sst>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7">
    <font>
      <sz val="10.0"/>
      <color rgb="FF000000"/>
      <name val="Arial"/>
      <scheme val="minor"/>
    </font>
    <font>
      <b/>
      <color theme="1"/>
      <name val="Arial"/>
    </font>
    <font>
      <b/>
      <color rgb="FF000000"/>
      <name val="Arial"/>
    </font>
    <font>
      <color theme="1"/>
      <name val="Arial"/>
    </font>
    <font>
      <color theme="1"/>
      <name val="Arial"/>
      <scheme val="minor"/>
    </font>
    <font>
      <color rgb="FF000000"/>
      <name val="Arial"/>
    </font>
    <font>
      <color theme="1"/>
      <name val="Courier New"/>
    </font>
  </fonts>
  <fills count="8">
    <fill>
      <patternFill patternType="none"/>
    </fill>
    <fill>
      <patternFill patternType="lightGray"/>
    </fill>
    <fill>
      <patternFill patternType="solid">
        <fgColor rgb="FFCFE2F3"/>
        <bgColor rgb="FFCFE2F3"/>
      </patternFill>
    </fill>
    <fill>
      <patternFill patternType="solid">
        <fgColor rgb="FFF4CCCC"/>
        <bgColor rgb="FFF4CCCC"/>
      </patternFill>
    </fill>
    <fill>
      <patternFill patternType="solid">
        <fgColor rgb="FFD9EAD3"/>
        <bgColor rgb="FFD9EAD3"/>
      </patternFill>
    </fill>
    <fill>
      <patternFill patternType="solid">
        <fgColor rgb="FFFCE5CD"/>
        <bgColor rgb="FFFCE5CD"/>
      </patternFill>
    </fill>
    <fill>
      <patternFill patternType="solid">
        <fgColor rgb="FFCCCCCC"/>
        <bgColor rgb="FFCCCCCC"/>
      </patternFill>
    </fill>
    <fill>
      <patternFill patternType="solid">
        <fgColor rgb="FFD9D9D9"/>
        <bgColor rgb="FFD9D9D9"/>
      </patternFill>
    </fill>
  </fills>
  <borders count="2">
    <border/>
    <border>
      <left style="thin">
        <color rgb="FF000000"/>
      </left>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2" fontId="2" numFmtId="0" xfId="0" applyAlignment="1" applyFill="1" applyFont="1">
      <alignment horizontal="center" readingOrder="0" shrinkToFit="0" vertical="center" wrapText="0"/>
    </xf>
    <xf borderId="0" fillId="3" fontId="2" numFmtId="0" xfId="0" applyAlignment="1" applyFill="1" applyFont="1">
      <alignment horizontal="center" readingOrder="0" shrinkToFit="0" vertical="center" wrapText="0"/>
    </xf>
    <xf borderId="0" fillId="4" fontId="2" numFmtId="0" xfId="0" applyAlignment="1" applyFill="1" applyFont="1">
      <alignment horizontal="center" readingOrder="0" shrinkToFit="0" vertical="center" wrapText="0"/>
    </xf>
    <xf borderId="0" fillId="5" fontId="2" numFmtId="0" xfId="0" applyAlignment="1" applyFill="1" applyFont="1">
      <alignment horizontal="center" readingOrder="0" shrinkToFit="0" vertical="center" wrapText="0"/>
    </xf>
    <xf borderId="1" fillId="4" fontId="2" numFmtId="0" xfId="0" applyAlignment="1" applyBorder="1" applyFill="1" applyFont="1">
      <alignment horizontal="center" readingOrder="0" shrinkToFit="0" vertical="center" wrapText="0"/>
    </xf>
    <xf borderId="0" fillId="0" fontId="1" numFmtId="0" xfId="0" applyAlignment="1" applyFont="1">
      <alignment horizontal="center" vertical="center"/>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6" fontId="2" numFmtId="49" xfId="0" applyAlignment="1" applyFill="1" applyFont="1" applyNumberForma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shrinkToFit="0" vertical="center" wrapText="1"/>
    </xf>
    <xf borderId="0" fillId="0" fontId="4" numFmtId="0" xfId="0" applyAlignment="1" applyFont="1">
      <alignment horizontal="center" vertical="center"/>
    </xf>
    <xf borderId="0" fillId="0" fontId="3" numFmtId="0" xfId="0" applyAlignment="1" applyFont="1">
      <alignment vertical="center"/>
    </xf>
    <xf borderId="0" fillId="0" fontId="3" numFmtId="164" xfId="0" applyAlignment="1" applyFont="1" applyNumberFormat="1">
      <alignment shrinkToFit="0" vertical="center" wrapText="1"/>
    </xf>
    <xf borderId="0" fillId="0" fontId="3" numFmtId="0" xfId="0" applyAlignment="1" applyFont="1">
      <alignment horizontal="center" readingOrder="0" shrinkToFit="0" vertical="center" wrapText="1"/>
    </xf>
    <xf borderId="0" fillId="0" fontId="3" numFmtId="49" xfId="0" applyAlignment="1" applyFont="1" applyNumberFormat="1">
      <alignment horizontal="center" readingOrder="0" shrinkToFit="0" vertical="center" wrapText="1"/>
    </xf>
    <xf borderId="0" fillId="2" fontId="3" numFmtId="0" xfId="0" applyAlignment="1" applyFill="1" applyFont="1">
      <alignment horizontal="center" readingOrder="0" shrinkToFit="0" vertical="center" wrapText="1"/>
    </xf>
    <xf borderId="0" fillId="3" fontId="3" numFmtId="0" xfId="0" applyAlignment="1" applyFill="1" applyFont="1">
      <alignment horizontal="center" readingOrder="0" shrinkToFit="0" vertical="center" wrapText="1"/>
    </xf>
    <xf borderId="0" fillId="4" fontId="3" numFmtId="0" xfId="0" applyAlignment="1" applyFill="1" applyFont="1">
      <alignment horizontal="center" readingOrder="0" shrinkToFit="0" vertical="center" wrapText="1"/>
    </xf>
    <xf borderId="0" fillId="5" fontId="3" numFmtId="0" xfId="0" applyAlignment="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0" fillId="0" fontId="3" numFmtId="0" xfId="0" applyAlignment="1" applyFont="1">
      <alignment horizontal="center" vertical="center"/>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7" fontId="6" numFmtId="0" xfId="0" applyAlignment="1" applyFill="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49" xfId="0" applyAlignment="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63"/>
    <col customWidth="1" min="2" max="2" width="12.63"/>
    <col customWidth="1" min="3" max="4" width="10.13"/>
    <col customWidth="1" min="5" max="5" width="9.5"/>
    <col customWidth="1" min="6" max="6" width="5.13"/>
    <col customWidth="1" min="7" max="7" width="12.63"/>
    <col customWidth="1" min="8" max="8" width="8.25"/>
    <col customWidth="1" min="9" max="9" width="11.5"/>
    <col customWidth="1" min="10" max="10" width="6.25"/>
    <col customWidth="1" min="11" max="11" width="6.63"/>
    <col customWidth="1" min="12" max="13" width="6.75"/>
    <col customWidth="1" min="14" max="14" width="6.63"/>
    <col customWidth="1" min="15" max="15" width="7.0"/>
    <col customWidth="1" min="16" max="16" width="6.75"/>
    <col customWidth="1" min="17" max="17" width="6.13"/>
    <col customWidth="1" min="18" max="18" width="7.0"/>
    <col customWidth="1" min="19" max="19" width="6.75"/>
    <col customWidth="1" min="20" max="20" width="6.5"/>
    <col customWidth="1" min="21" max="21" width="6.88"/>
    <col customWidth="1" min="22" max="22" width="6.75"/>
    <col customWidth="1" min="23" max="23" width="6.5"/>
    <col customWidth="1" min="24" max="25" width="6.63"/>
    <col customWidth="1" min="26" max="26" width="6.5"/>
    <col customWidth="1" min="27" max="27" width="6.88"/>
    <col customWidth="1" min="28" max="28" width="6.63"/>
    <col customWidth="1" min="29" max="29" width="7.0"/>
    <col customWidth="1" min="30" max="30" width="7.13"/>
    <col customWidth="1" min="31" max="31" width="6.75"/>
    <col customWidth="1" min="32" max="32" width="6.38"/>
    <col customWidth="1" min="33" max="34" width="6.75"/>
    <col customWidth="1" min="35" max="35" width="5.13"/>
    <col customWidth="1" min="36" max="36" width="7.0"/>
    <col customWidth="1" min="37" max="38" width="50.13"/>
    <col customWidth="1" min="39" max="39" width="8.63"/>
    <col customWidth="1" min="40" max="42" width="7.0"/>
    <col customWidth="1" min="43" max="45" width="10.75"/>
    <col customWidth="1" min="46" max="46" width="7.0"/>
    <col customWidth="1" min="47" max="47" width="19.0"/>
  </cols>
  <sheetData>
    <row r="1" ht="26.25" customHeight="1">
      <c r="A1" s="1" t="s">
        <v>0</v>
      </c>
      <c r="B1" s="2" t="s">
        <v>1</v>
      </c>
      <c r="C1" s="3" t="s">
        <v>2</v>
      </c>
      <c r="D1" s="3" t="s">
        <v>3</v>
      </c>
      <c r="E1" s="3" t="s">
        <v>4</v>
      </c>
      <c r="F1" s="1" t="s">
        <v>5</v>
      </c>
      <c r="G1" s="2" t="s">
        <v>6</v>
      </c>
      <c r="H1" s="2" t="s">
        <v>7</v>
      </c>
      <c r="I1" s="4" t="s">
        <v>8</v>
      </c>
      <c r="J1" s="4" t="s">
        <v>9</v>
      </c>
      <c r="K1" s="5" t="s">
        <v>10</v>
      </c>
      <c r="L1" s="5" t="s">
        <v>11</v>
      </c>
      <c r="M1" s="6" t="s">
        <v>12</v>
      </c>
      <c r="N1" s="6" t="s">
        <v>13</v>
      </c>
      <c r="O1" s="6" t="s">
        <v>14</v>
      </c>
      <c r="P1" s="7" t="s">
        <v>15</v>
      </c>
      <c r="Q1" s="7" t="s">
        <v>16</v>
      </c>
      <c r="R1" s="7" t="s">
        <v>17</v>
      </c>
      <c r="S1" s="8" t="s">
        <v>18</v>
      </c>
      <c r="T1" s="8" t="s">
        <v>19</v>
      </c>
      <c r="U1" s="8" t="s">
        <v>20</v>
      </c>
      <c r="V1" s="5" t="s">
        <v>21</v>
      </c>
      <c r="W1" s="9" t="s">
        <v>22</v>
      </c>
      <c r="X1" s="7" t="s">
        <v>23</v>
      </c>
      <c r="Y1" s="8" t="s">
        <v>24</v>
      </c>
      <c r="Z1" s="8" t="s">
        <v>25</v>
      </c>
      <c r="AA1" s="8" t="s">
        <v>26</v>
      </c>
      <c r="AB1" s="5" t="s">
        <v>27</v>
      </c>
      <c r="AC1" s="5" t="s">
        <v>28</v>
      </c>
      <c r="AD1" s="5" t="s">
        <v>29</v>
      </c>
      <c r="AE1" s="6" t="s">
        <v>30</v>
      </c>
      <c r="AF1" s="6" t="s">
        <v>31</v>
      </c>
      <c r="AG1" s="6" t="s">
        <v>32</v>
      </c>
      <c r="AH1" s="7" t="s">
        <v>33</v>
      </c>
      <c r="AI1" s="10" t="s">
        <v>34</v>
      </c>
      <c r="AJ1" s="11" t="s">
        <v>35</v>
      </c>
      <c r="AK1" s="12" t="s">
        <v>36</v>
      </c>
      <c r="AL1" s="12" t="s">
        <v>37</v>
      </c>
      <c r="AM1" s="3" t="s">
        <v>38</v>
      </c>
      <c r="AN1" s="13" t="s">
        <v>39</v>
      </c>
      <c r="AO1" s="2" t="s">
        <v>40</v>
      </c>
      <c r="AP1" s="2" t="s">
        <v>41</v>
      </c>
      <c r="AQ1" s="4" t="s">
        <v>42</v>
      </c>
      <c r="AR1" s="4" t="s">
        <v>43</v>
      </c>
      <c r="AS1" s="4" t="s">
        <v>44</v>
      </c>
      <c r="AT1" s="1" t="s">
        <v>45</v>
      </c>
      <c r="AU1" s="14" t="s">
        <v>46</v>
      </c>
    </row>
    <row r="2" ht="56.25" customHeight="1">
      <c r="A2" s="15">
        <v>10.0</v>
      </c>
      <c r="B2" s="16" t="s">
        <v>47</v>
      </c>
      <c r="C2" s="17" t="str">
        <f>IMAGE("https://nh-cdn.catalogue.ac/MenuIcon/Ins6.png")</f>
        <v/>
      </c>
      <c r="D2" s="17" t="str">
        <f>IMAGE("https://nh-cdn.catalogue.ac/BookInsectIcon/InsectMiirotateha.png")</f>
        <v/>
      </c>
      <c r="E2" s="18" t="str">
        <f>IMAGE("https://nh-cdn.catalogue.ac/FtrIcon/FtrInsectMiirotateha.png")</f>
        <v/>
      </c>
      <c r="F2" s="15">
        <v>3000.0</v>
      </c>
      <c r="G2" s="19" t="s">
        <v>48</v>
      </c>
      <c r="H2" s="16" t="s">
        <v>49</v>
      </c>
      <c r="I2" s="20">
        <v>20.0</v>
      </c>
      <c r="J2" s="21" t="s">
        <v>50</v>
      </c>
      <c r="K2" s="22" t="s">
        <v>51</v>
      </c>
      <c r="L2" s="22" t="s">
        <v>51</v>
      </c>
      <c r="M2" s="23" t="s">
        <v>51</v>
      </c>
      <c r="N2" s="23" t="s">
        <v>52</v>
      </c>
      <c r="O2" s="23" t="s">
        <v>52</v>
      </c>
      <c r="P2" s="24" t="s">
        <v>52</v>
      </c>
      <c r="Q2" s="24" t="s">
        <v>52</v>
      </c>
      <c r="R2" s="24" t="s">
        <v>52</v>
      </c>
      <c r="S2" s="25" t="s">
        <v>52</v>
      </c>
      <c r="T2" s="25" t="s">
        <v>51</v>
      </c>
      <c r="U2" s="25" t="s">
        <v>51</v>
      </c>
      <c r="V2" s="22" t="s">
        <v>51</v>
      </c>
      <c r="W2" s="26" t="s">
        <v>52</v>
      </c>
      <c r="X2" s="24" t="s">
        <v>52</v>
      </c>
      <c r="Y2" s="25" t="s">
        <v>52</v>
      </c>
      <c r="Z2" s="25" t="s">
        <v>51</v>
      </c>
      <c r="AA2" s="25" t="s">
        <v>51</v>
      </c>
      <c r="AB2" s="22" t="s">
        <v>51</v>
      </c>
      <c r="AC2" s="22" t="s">
        <v>51</v>
      </c>
      <c r="AD2" s="22" t="s">
        <v>51</v>
      </c>
      <c r="AE2" s="23" t="s">
        <v>51</v>
      </c>
      <c r="AF2" s="23" t="s">
        <v>52</v>
      </c>
      <c r="AG2" s="23" t="s">
        <v>52</v>
      </c>
      <c r="AH2" s="24" t="s">
        <v>52</v>
      </c>
      <c r="AI2" s="27" t="s">
        <v>53</v>
      </c>
      <c r="AJ2" s="27" t="s">
        <v>54</v>
      </c>
      <c r="AK2" s="28" t="s">
        <v>55</v>
      </c>
      <c r="AL2" s="29" t="s">
        <v>56</v>
      </c>
      <c r="AM2" s="15">
        <v>64.0</v>
      </c>
      <c r="AN2" s="30" t="s">
        <v>57</v>
      </c>
      <c r="AO2" s="16" t="s">
        <v>58</v>
      </c>
      <c r="AP2" s="16" t="s">
        <v>59</v>
      </c>
      <c r="AQ2" s="31" t="s">
        <v>60</v>
      </c>
      <c r="AR2" s="31" t="s">
        <v>61</v>
      </c>
      <c r="AS2" s="32" t="s">
        <v>62</v>
      </c>
      <c r="AT2" s="15">
        <v>620.0</v>
      </c>
      <c r="AU2" s="33" t="s">
        <v>63</v>
      </c>
    </row>
    <row r="3" ht="56.25" customHeight="1">
      <c r="A3" s="15">
        <v>69.0</v>
      </c>
      <c r="B3" s="16" t="s">
        <v>64</v>
      </c>
      <c r="C3" s="27" t="str">
        <f>IMAGE("https://nh-cdn.catalogue.ac/MenuIcon/Ins26.png")</f>
        <v/>
      </c>
      <c r="D3" s="27" t="str">
        <f>IMAGE("https://nh-cdn.catalogue.ac/BookInsectIcon/InsectAri.png")</f>
        <v/>
      </c>
      <c r="E3" s="18" t="str">
        <f>IMAGE("https://nh-cdn.catalogue.ac/FtrIcon/FtrInsectAri.png")</f>
        <v/>
      </c>
      <c r="F3" s="15">
        <v>80.0</v>
      </c>
      <c r="G3" s="30" t="s">
        <v>65</v>
      </c>
      <c r="H3" s="32" t="s">
        <v>66</v>
      </c>
      <c r="I3" s="34">
        <v>0.0</v>
      </c>
      <c r="J3" s="35" t="s">
        <v>67</v>
      </c>
      <c r="K3" s="22" t="s">
        <v>68</v>
      </c>
      <c r="L3" s="22" t="s">
        <v>68</v>
      </c>
      <c r="M3" s="23" t="s">
        <v>68</v>
      </c>
      <c r="N3" s="23" t="s">
        <v>68</v>
      </c>
      <c r="O3" s="23" t="s">
        <v>68</v>
      </c>
      <c r="P3" s="24" t="s">
        <v>68</v>
      </c>
      <c r="Q3" s="24" t="s">
        <v>68</v>
      </c>
      <c r="R3" s="24" t="s">
        <v>68</v>
      </c>
      <c r="S3" s="25" t="s">
        <v>68</v>
      </c>
      <c r="T3" s="25" t="s">
        <v>68</v>
      </c>
      <c r="U3" s="25" t="s">
        <v>68</v>
      </c>
      <c r="V3" s="22" t="s">
        <v>68</v>
      </c>
      <c r="W3" s="26" t="s">
        <v>68</v>
      </c>
      <c r="X3" s="24" t="s">
        <v>68</v>
      </c>
      <c r="Y3" s="25" t="s">
        <v>68</v>
      </c>
      <c r="Z3" s="25" t="s">
        <v>68</v>
      </c>
      <c r="AA3" s="25" t="s">
        <v>68</v>
      </c>
      <c r="AB3" s="22" t="s">
        <v>68</v>
      </c>
      <c r="AC3" s="22" t="s">
        <v>68</v>
      </c>
      <c r="AD3" s="22" t="s">
        <v>68</v>
      </c>
      <c r="AE3" s="23" t="s">
        <v>68</v>
      </c>
      <c r="AF3" s="23" t="s">
        <v>68</v>
      </c>
      <c r="AG3" s="23" t="s">
        <v>68</v>
      </c>
      <c r="AH3" s="24" t="s">
        <v>68</v>
      </c>
      <c r="AI3" s="27" t="s">
        <v>53</v>
      </c>
      <c r="AJ3" s="27" t="s">
        <v>69</v>
      </c>
      <c r="AK3" s="28" t="s">
        <v>70</v>
      </c>
      <c r="AL3" s="29" t="s">
        <v>71</v>
      </c>
      <c r="AM3" s="15">
        <v>64.0</v>
      </c>
      <c r="AN3" s="30" t="s">
        <v>57</v>
      </c>
      <c r="AO3" s="16" t="s">
        <v>72</v>
      </c>
      <c r="AP3" s="16" t="s">
        <v>73</v>
      </c>
      <c r="AQ3" s="31" t="s">
        <v>74</v>
      </c>
      <c r="AR3" s="31" t="s">
        <v>75</v>
      </c>
      <c r="AS3" s="16" t="s">
        <v>76</v>
      </c>
      <c r="AT3" s="15">
        <v>588.0</v>
      </c>
      <c r="AU3" s="33" t="s">
        <v>77</v>
      </c>
    </row>
    <row r="4" ht="56.25" customHeight="1">
      <c r="A4" s="15">
        <v>14.0</v>
      </c>
      <c r="B4" s="16" t="s">
        <v>78</v>
      </c>
      <c r="C4" s="27" t="str">
        <f>IMAGE("https://nh-cdn.catalogue.ac/MenuIcon/Ins10.png")</f>
        <v/>
      </c>
      <c r="D4" s="27" t="str">
        <f>IMAGE("https://nh-cdn.catalogue.ac/BookInsectIcon/InsectYonagunisan.png")</f>
        <v/>
      </c>
      <c r="E4" s="18" t="str">
        <f>IMAGE("https://nh-cdn.catalogue.ac/FtrIcon/FtrInsectYonagunisan.png")</f>
        <v/>
      </c>
      <c r="F4" s="15">
        <v>3000.0</v>
      </c>
      <c r="G4" s="16" t="s">
        <v>79</v>
      </c>
      <c r="H4" s="19" t="s">
        <v>66</v>
      </c>
      <c r="I4" s="20">
        <v>20.0</v>
      </c>
      <c r="J4" s="21" t="s">
        <v>50</v>
      </c>
      <c r="K4" s="22" t="s">
        <v>51</v>
      </c>
      <c r="L4" s="22" t="s">
        <v>51</v>
      </c>
      <c r="M4" s="23" t="s">
        <v>51</v>
      </c>
      <c r="N4" s="23" t="s">
        <v>80</v>
      </c>
      <c r="O4" s="23" t="s">
        <v>80</v>
      </c>
      <c r="P4" s="24" t="s">
        <v>80</v>
      </c>
      <c r="Q4" s="24" t="s">
        <v>80</v>
      </c>
      <c r="R4" s="24" t="s">
        <v>80</v>
      </c>
      <c r="S4" s="25" t="s">
        <v>80</v>
      </c>
      <c r="T4" s="25" t="s">
        <v>51</v>
      </c>
      <c r="U4" s="25" t="s">
        <v>51</v>
      </c>
      <c r="V4" s="22" t="s">
        <v>51</v>
      </c>
      <c r="W4" s="26" t="s">
        <v>80</v>
      </c>
      <c r="X4" s="24" t="s">
        <v>80</v>
      </c>
      <c r="Y4" s="25" t="s">
        <v>80</v>
      </c>
      <c r="Z4" s="25" t="s">
        <v>51</v>
      </c>
      <c r="AA4" s="25" t="s">
        <v>51</v>
      </c>
      <c r="AB4" s="22" t="s">
        <v>51</v>
      </c>
      <c r="AC4" s="22" t="s">
        <v>51</v>
      </c>
      <c r="AD4" s="22" t="s">
        <v>51</v>
      </c>
      <c r="AE4" s="23" t="s">
        <v>51</v>
      </c>
      <c r="AF4" s="23" t="s">
        <v>80</v>
      </c>
      <c r="AG4" s="23" t="s">
        <v>80</v>
      </c>
      <c r="AH4" s="24" t="s">
        <v>80</v>
      </c>
      <c r="AI4" s="27" t="s">
        <v>53</v>
      </c>
      <c r="AJ4" s="27" t="s">
        <v>54</v>
      </c>
      <c r="AK4" s="28" t="s">
        <v>81</v>
      </c>
      <c r="AL4" s="29" t="s">
        <v>82</v>
      </c>
      <c r="AM4" s="15">
        <v>64.0</v>
      </c>
      <c r="AN4" s="30" t="s">
        <v>57</v>
      </c>
      <c r="AO4" s="16" t="s">
        <v>83</v>
      </c>
      <c r="AP4" s="16" t="s">
        <v>84</v>
      </c>
      <c r="AQ4" s="31" t="s">
        <v>85</v>
      </c>
      <c r="AR4" s="31" t="s">
        <v>86</v>
      </c>
      <c r="AS4" s="32" t="s">
        <v>87</v>
      </c>
      <c r="AT4" s="15">
        <v>652.0</v>
      </c>
      <c r="AU4" s="33" t="s">
        <v>88</v>
      </c>
    </row>
    <row r="5" ht="56.25" customHeight="1">
      <c r="A5" s="15">
        <v>68.0</v>
      </c>
      <c r="B5" s="16" t="s">
        <v>89</v>
      </c>
      <c r="C5" s="27" t="str">
        <f>IMAGE("https://nh-cdn.catalogue.ac/MenuIcon/Ins36.png")</f>
        <v/>
      </c>
      <c r="D5" s="27" t="str">
        <f>IMAGE("https://nh-cdn.catalogue.ac/BookInsectIcon/InsectMinomushi.png")</f>
        <v/>
      </c>
      <c r="E5" s="18" t="str">
        <f>IMAGE("https://nh-cdn.catalogue.ac/FtrIcon/FtrInsectMinomushi.png")</f>
        <v/>
      </c>
      <c r="F5" s="15">
        <v>600.0</v>
      </c>
      <c r="G5" s="16" t="s">
        <v>90</v>
      </c>
      <c r="H5" s="16" t="s">
        <v>66</v>
      </c>
      <c r="I5" s="20">
        <v>0.0</v>
      </c>
      <c r="J5" s="21" t="s">
        <v>91</v>
      </c>
      <c r="K5" s="22" t="s">
        <v>68</v>
      </c>
      <c r="L5" s="22" t="s">
        <v>68</v>
      </c>
      <c r="M5" s="23" t="s">
        <v>68</v>
      </c>
      <c r="N5" s="23" t="s">
        <v>68</v>
      </c>
      <c r="O5" s="23" t="s">
        <v>68</v>
      </c>
      <c r="P5" s="24" t="s">
        <v>68</v>
      </c>
      <c r="Q5" s="24" t="s">
        <v>68</v>
      </c>
      <c r="R5" s="24" t="s">
        <v>68</v>
      </c>
      <c r="S5" s="25" t="s">
        <v>68</v>
      </c>
      <c r="T5" s="25" t="s">
        <v>68</v>
      </c>
      <c r="U5" s="25" t="s">
        <v>68</v>
      </c>
      <c r="V5" s="22" t="s">
        <v>68</v>
      </c>
      <c r="W5" s="26" t="s">
        <v>68</v>
      </c>
      <c r="X5" s="24" t="s">
        <v>68</v>
      </c>
      <c r="Y5" s="25" t="s">
        <v>68</v>
      </c>
      <c r="Z5" s="25" t="s">
        <v>68</v>
      </c>
      <c r="AA5" s="25" t="s">
        <v>68</v>
      </c>
      <c r="AB5" s="22" t="s">
        <v>68</v>
      </c>
      <c r="AC5" s="22" t="s">
        <v>68</v>
      </c>
      <c r="AD5" s="22" t="s">
        <v>68</v>
      </c>
      <c r="AE5" s="23" t="s">
        <v>68</v>
      </c>
      <c r="AF5" s="23" t="s">
        <v>68</v>
      </c>
      <c r="AG5" s="23" t="s">
        <v>68</v>
      </c>
      <c r="AH5" s="24" t="s">
        <v>68</v>
      </c>
      <c r="AI5" s="27" t="s">
        <v>53</v>
      </c>
      <c r="AJ5" s="27" t="s">
        <v>54</v>
      </c>
      <c r="AK5" s="28" t="s">
        <v>92</v>
      </c>
      <c r="AL5" s="29" t="s">
        <v>93</v>
      </c>
      <c r="AM5" s="15">
        <v>64.0</v>
      </c>
      <c r="AN5" s="30" t="s">
        <v>57</v>
      </c>
      <c r="AO5" s="16" t="s">
        <v>94</v>
      </c>
      <c r="AP5" s="16" t="s">
        <v>95</v>
      </c>
      <c r="AQ5" s="31" t="s">
        <v>96</v>
      </c>
      <c r="AR5" s="31" t="s">
        <v>97</v>
      </c>
      <c r="AS5" s="32" t="s">
        <v>98</v>
      </c>
      <c r="AT5" s="15">
        <v>622.0</v>
      </c>
      <c r="AU5" s="33" t="s">
        <v>99</v>
      </c>
    </row>
    <row r="6" ht="56.25" customHeight="1">
      <c r="A6" s="15">
        <v>34.0</v>
      </c>
      <c r="B6" s="16" t="s">
        <v>100</v>
      </c>
      <c r="C6" s="27" t="str">
        <f>IMAGE("https://nh-cdn.catalogue.ac/MenuIcon/Ins24.png")</f>
        <v/>
      </c>
      <c r="D6" s="27" t="str">
        <f>IMAGE("https://nh-cdn.catalogue.ac/BookInsectIcon/InsectOniyanma.png")</f>
        <v/>
      </c>
      <c r="E6" s="18" t="str">
        <f>IMAGE("https://nh-cdn.catalogue.ac/FtrIcon/FtrInsectOniyanma.png")</f>
        <v/>
      </c>
      <c r="F6" s="15">
        <v>4500.0</v>
      </c>
      <c r="G6" s="32" t="s">
        <v>101</v>
      </c>
      <c r="H6" s="16" t="s">
        <v>49</v>
      </c>
      <c r="I6" s="20">
        <v>50.0</v>
      </c>
      <c r="J6" s="21" t="s">
        <v>102</v>
      </c>
      <c r="K6" s="22" t="s">
        <v>51</v>
      </c>
      <c r="L6" s="22" t="s">
        <v>51</v>
      </c>
      <c r="M6" s="23" t="s">
        <v>51</v>
      </c>
      <c r="N6" s="23" t="s">
        <v>51</v>
      </c>
      <c r="O6" s="23" t="s">
        <v>52</v>
      </c>
      <c r="P6" s="24" t="s">
        <v>52</v>
      </c>
      <c r="Q6" s="24" t="s">
        <v>52</v>
      </c>
      <c r="R6" s="24" t="s">
        <v>52</v>
      </c>
      <c r="S6" s="25" t="s">
        <v>52</v>
      </c>
      <c r="T6" s="25" t="s">
        <v>52</v>
      </c>
      <c r="U6" s="25" t="s">
        <v>51</v>
      </c>
      <c r="V6" s="22" t="s">
        <v>51</v>
      </c>
      <c r="W6" s="26" t="s">
        <v>52</v>
      </c>
      <c r="X6" s="24" t="s">
        <v>52</v>
      </c>
      <c r="Y6" s="25" t="s">
        <v>52</v>
      </c>
      <c r="Z6" s="25" t="s">
        <v>52</v>
      </c>
      <c r="AA6" s="25" t="s">
        <v>51</v>
      </c>
      <c r="AB6" s="22" t="s">
        <v>51</v>
      </c>
      <c r="AC6" s="22" t="s">
        <v>51</v>
      </c>
      <c r="AD6" s="22" t="s">
        <v>51</v>
      </c>
      <c r="AE6" s="23" t="s">
        <v>51</v>
      </c>
      <c r="AF6" s="23" t="s">
        <v>51</v>
      </c>
      <c r="AG6" s="23" t="s">
        <v>52</v>
      </c>
      <c r="AH6" s="24" t="s">
        <v>52</v>
      </c>
      <c r="AI6" s="27" t="s">
        <v>53</v>
      </c>
      <c r="AJ6" s="27" t="s">
        <v>54</v>
      </c>
      <c r="AK6" s="28" t="s">
        <v>103</v>
      </c>
      <c r="AL6" s="29" t="s">
        <v>104</v>
      </c>
      <c r="AM6" s="15">
        <v>64.0</v>
      </c>
      <c r="AN6" s="30" t="s">
        <v>57</v>
      </c>
      <c r="AO6" s="16" t="s">
        <v>72</v>
      </c>
      <c r="AP6" s="16" t="s">
        <v>84</v>
      </c>
      <c r="AQ6" s="31" t="s">
        <v>105</v>
      </c>
      <c r="AR6" s="31" t="s">
        <v>106</v>
      </c>
      <c r="AS6" s="32" t="s">
        <v>107</v>
      </c>
      <c r="AT6" s="15">
        <v>635.0</v>
      </c>
      <c r="AU6" s="33" t="s">
        <v>108</v>
      </c>
    </row>
    <row r="7" ht="56.25" customHeight="1">
      <c r="A7" s="15">
        <v>21.0</v>
      </c>
      <c r="B7" s="16" t="s">
        <v>109</v>
      </c>
      <c r="C7" s="27" t="str">
        <f>IMAGE("https://nh-cdn.catalogue.ac/MenuIcon/Ins31.png")</f>
        <v/>
      </c>
      <c r="D7" s="27" t="str">
        <f>IMAGE("https://nh-cdn.catalogue.ac/BookInsectIcon/InsectSuzumushi.png")</f>
        <v/>
      </c>
      <c r="E7" s="18" t="str">
        <f>IMAGE("https://nh-cdn.catalogue.ac/FtrIcon/FtrInsectSuzumushi.png")</f>
        <v/>
      </c>
      <c r="F7" s="15">
        <v>430.0</v>
      </c>
      <c r="G7" s="19" t="s">
        <v>110</v>
      </c>
      <c r="H7" s="16" t="s">
        <v>49</v>
      </c>
      <c r="I7" s="20">
        <v>0.0</v>
      </c>
      <c r="J7" s="21" t="s">
        <v>111</v>
      </c>
      <c r="K7" s="22" t="s">
        <v>51</v>
      </c>
      <c r="L7" s="22" t="s">
        <v>51</v>
      </c>
      <c r="M7" s="23" t="s">
        <v>51</v>
      </c>
      <c r="N7" s="23" t="s">
        <v>51</v>
      </c>
      <c r="O7" s="23" t="s">
        <v>51</v>
      </c>
      <c r="P7" s="24" t="s">
        <v>51</v>
      </c>
      <c r="Q7" s="24" t="s">
        <v>51</v>
      </c>
      <c r="R7" s="24" t="s">
        <v>51</v>
      </c>
      <c r="S7" s="25" t="s">
        <v>112</v>
      </c>
      <c r="T7" s="25" t="s">
        <v>112</v>
      </c>
      <c r="U7" s="25" t="s">
        <v>51</v>
      </c>
      <c r="V7" s="22" t="s">
        <v>51</v>
      </c>
      <c r="W7" s="26" t="s">
        <v>51</v>
      </c>
      <c r="X7" s="24" t="s">
        <v>51</v>
      </c>
      <c r="Y7" s="25" t="s">
        <v>112</v>
      </c>
      <c r="Z7" s="25" t="s">
        <v>112</v>
      </c>
      <c r="AA7" s="25" t="s">
        <v>51</v>
      </c>
      <c r="AB7" s="22" t="s">
        <v>51</v>
      </c>
      <c r="AC7" s="22" t="s">
        <v>51</v>
      </c>
      <c r="AD7" s="22" t="s">
        <v>51</v>
      </c>
      <c r="AE7" s="23" t="s">
        <v>51</v>
      </c>
      <c r="AF7" s="23" t="s">
        <v>51</v>
      </c>
      <c r="AG7" s="23" t="s">
        <v>51</v>
      </c>
      <c r="AH7" s="24" t="s">
        <v>51</v>
      </c>
      <c r="AI7" s="27" t="s">
        <v>53</v>
      </c>
      <c r="AJ7" s="27" t="s">
        <v>69</v>
      </c>
      <c r="AK7" s="28" t="s">
        <v>113</v>
      </c>
      <c r="AL7" s="29" t="s">
        <v>114</v>
      </c>
      <c r="AM7" s="15">
        <v>64.0</v>
      </c>
      <c r="AN7" s="30" t="s">
        <v>57</v>
      </c>
      <c r="AO7" s="16" t="s">
        <v>72</v>
      </c>
      <c r="AP7" s="16" t="s">
        <v>115</v>
      </c>
      <c r="AQ7" s="31" t="s">
        <v>116</v>
      </c>
      <c r="AR7" s="31" t="s">
        <v>117</v>
      </c>
      <c r="AS7" s="32" t="s">
        <v>118</v>
      </c>
      <c r="AT7" s="15">
        <v>642.0</v>
      </c>
      <c r="AU7" s="33" t="s">
        <v>119</v>
      </c>
    </row>
    <row r="8" ht="56.25" customHeight="1">
      <c r="A8" s="15">
        <v>49.0</v>
      </c>
      <c r="B8" s="16" t="s">
        <v>120</v>
      </c>
      <c r="C8" s="27" t="str">
        <f>IMAGE("https://nh-cdn.catalogue.ac/MenuIcon/Ins80.png")</f>
        <v/>
      </c>
      <c r="D8" s="27" t="str">
        <f>IMAGE("https://nh-cdn.catalogue.ac/BookInsectIcon/InsectHousekizoumushi.png")</f>
        <v/>
      </c>
      <c r="E8" s="18" t="str">
        <f>IMAGE("https://nh-cdn.catalogue.ac/FtrIcon/FtrInsectHousekizoumushi.png")</f>
        <v/>
      </c>
      <c r="F8" s="15">
        <v>800.0</v>
      </c>
      <c r="G8" s="16" t="s">
        <v>121</v>
      </c>
      <c r="H8" s="16" t="s">
        <v>66</v>
      </c>
      <c r="I8" s="20">
        <v>0.0</v>
      </c>
      <c r="J8" s="21" t="s">
        <v>122</v>
      </c>
      <c r="K8" s="22" t="s">
        <v>51</v>
      </c>
      <c r="L8" s="22" t="s">
        <v>51</v>
      </c>
      <c r="M8" s="23" t="s">
        <v>51</v>
      </c>
      <c r="N8" s="23" t="s">
        <v>51</v>
      </c>
      <c r="O8" s="23" t="s">
        <v>51</v>
      </c>
      <c r="P8" s="24" t="s">
        <v>51</v>
      </c>
      <c r="Q8" s="24" t="s">
        <v>68</v>
      </c>
      <c r="R8" s="24" t="s">
        <v>68</v>
      </c>
      <c r="S8" s="25" t="s">
        <v>51</v>
      </c>
      <c r="T8" s="25" t="s">
        <v>51</v>
      </c>
      <c r="U8" s="25" t="s">
        <v>51</v>
      </c>
      <c r="V8" s="22" t="s">
        <v>51</v>
      </c>
      <c r="W8" s="26" t="s">
        <v>68</v>
      </c>
      <c r="X8" s="24" t="s">
        <v>68</v>
      </c>
      <c r="Y8" s="25" t="s">
        <v>51</v>
      </c>
      <c r="Z8" s="25" t="s">
        <v>51</v>
      </c>
      <c r="AA8" s="25" t="s">
        <v>51</v>
      </c>
      <c r="AB8" s="22" t="s">
        <v>51</v>
      </c>
      <c r="AC8" s="22" t="s">
        <v>51</v>
      </c>
      <c r="AD8" s="22" t="s">
        <v>51</v>
      </c>
      <c r="AE8" s="23" t="s">
        <v>51</v>
      </c>
      <c r="AF8" s="23" t="s">
        <v>51</v>
      </c>
      <c r="AG8" s="23" t="s">
        <v>51</v>
      </c>
      <c r="AH8" s="24" t="s">
        <v>51</v>
      </c>
      <c r="AI8" s="27" t="s">
        <v>53</v>
      </c>
      <c r="AJ8" s="27" t="s">
        <v>69</v>
      </c>
      <c r="AK8" s="28" t="s">
        <v>123</v>
      </c>
      <c r="AL8" s="29" t="s">
        <v>124</v>
      </c>
      <c r="AM8" s="15">
        <v>64.0</v>
      </c>
      <c r="AN8" s="30" t="s">
        <v>57</v>
      </c>
      <c r="AO8" s="16" t="s">
        <v>59</v>
      </c>
      <c r="AP8" s="16" t="s">
        <v>58</v>
      </c>
      <c r="AQ8" s="31" t="s">
        <v>125</v>
      </c>
      <c r="AR8" s="31" t="s">
        <v>126</v>
      </c>
      <c r="AS8" s="32" t="s">
        <v>127</v>
      </c>
      <c r="AT8" s="15">
        <v>3485.0</v>
      </c>
      <c r="AU8" s="33" t="s">
        <v>128</v>
      </c>
    </row>
    <row r="9" ht="56.25" customHeight="1">
      <c r="A9" s="15">
        <v>26.0</v>
      </c>
      <c r="B9" s="16" t="s">
        <v>129</v>
      </c>
      <c r="C9" s="27" t="str">
        <f>IMAGE("https://nh-cdn.catalogue.ac/MenuIcon/Ins17.png")</f>
        <v/>
      </c>
      <c r="D9" s="27" t="str">
        <f>IMAGE("https://nh-cdn.catalogue.ac/BookInsectIcon/InsectAburazemi.png")</f>
        <v/>
      </c>
      <c r="E9" s="18" t="str">
        <f>IMAGE("https://nh-cdn.catalogue.ac/FtrIcon/FtrInsectAburazemi.png")</f>
        <v/>
      </c>
      <c r="F9" s="15">
        <v>250.0</v>
      </c>
      <c r="G9" s="19" t="s">
        <v>130</v>
      </c>
      <c r="H9" s="19" t="s">
        <v>66</v>
      </c>
      <c r="I9" s="20">
        <v>0.0</v>
      </c>
      <c r="J9" s="21" t="s">
        <v>131</v>
      </c>
      <c r="K9" s="22" t="s">
        <v>51</v>
      </c>
      <c r="L9" s="22" t="s">
        <v>51</v>
      </c>
      <c r="M9" s="23" t="s">
        <v>51</v>
      </c>
      <c r="N9" s="23" t="s">
        <v>51</v>
      </c>
      <c r="O9" s="23" t="s">
        <v>51</v>
      </c>
      <c r="P9" s="24" t="s">
        <v>51</v>
      </c>
      <c r="Q9" s="24" t="s">
        <v>52</v>
      </c>
      <c r="R9" s="24" t="s">
        <v>52</v>
      </c>
      <c r="S9" s="25" t="s">
        <v>51</v>
      </c>
      <c r="T9" s="25" t="s">
        <v>51</v>
      </c>
      <c r="U9" s="25" t="s">
        <v>51</v>
      </c>
      <c r="V9" s="22" t="s">
        <v>51</v>
      </c>
      <c r="W9" s="26" t="s">
        <v>52</v>
      </c>
      <c r="X9" s="24" t="s">
        <v>52</v>
      </c>
      <c r="Y9" s="25" t="s">
        <v>51</v>
      </c>
      <c r="Z9" s="25" t="s">
        <v>51</v>
      </c>
      <c r="AA9" s="25" t="s">
        <v>51</v>
      </c>
      <c r="AB9" s="22" t="s">
        <v>51</v>
      </c>
      <c r="AC9" s="22" t="s">
        <v>51</v>
      </c>
      <c r="AD9" s="22" t="s">
        <v>51</v>
      </c>
      <c r="AE9" s="23" t="s">
        <v>51</v>
      </c>
      <c r="AF9" s="23" t="s">
        <v>51</v>
      </c>
      <c r="AG9" s="23" t="s">
        <v>51</v>
      </c>
      <c r="AH9" s="24" t="s">
        <v>51</v>
      </c>
      <c r="AI9" s="27" t="s">
        <v>53</v>
      </c>
      <c r="AJ9" s="27" t="s">
        <v>54</v>
      </c>
      <c r="AK9" s="28" t="s">
        <v>132</v>
      </c>
      <c r="AL9" s="29" t="s">
        <v>133</v>
      </c>
      <c r="AM9" s="15">
        <v>64.0</v>
      </c>
      <c r="AN9" s="30" t="s">
        <v>57</v>
      </c>
      <c r="AO9" s="16" t="s">
        <v>94</v>
      </c>
      <c r="AP9" s="16" t="s">
        <v>59</v>
      </c>
      <c r="AQ9" s="31" t="s">
        <v>134</v>
      </c>
      <c r="AR9" s="31" t="s">
        <v>135</v>
      </c>
      <c r="AS9" s="32" t="s">
        <v>136</v>
      </c>
      <c r="AT9" s="15">
        <v>582.0</v>
      </c>
      <c r="AU9" s="33" t="s">
        <v>137</v>
      </c>
    </row>
    <row r="10" ht="56.25" customHeight="1">
      <c r="A10" s="15">
        <v>77.0</v>
      </c>
      <c r="B10" s="16" t="s">
        <v>138</v>
      </c>
      <c r="C10" s="27" t="str">
        <f>IMAGE("https://nh-cdn.catalogue.ac/MenuIcon/Ins60.png")</f>
        <v/>
      </c>
      <c r="D10" s="27" t="str">
        <f>IMAGE("https://nh-cdn.catalogue.ac/BookInsectIcon/InsectMukade.png")</f>
        <v/>
      </c>
      <c r="E10" s="18" t="str">
        <f>IMAGE("https://nh-cdn.catalogue.ac/FtrIcon/FtrInsectMukade.png")</f>
        <v/>
      </c>
      <c r="F10" s="15">
        <v>300.0</v>
      </c>
      <c r="G10" s="16" t="s">
        <v>139</v>
      </c>
      <c r="H10" s="19" t="s">
        <v>66</v>
      </c>
      <c r="I10" s="20">
        <v>0.0</v>
      </c>
      <c r="J10" s="21" t="s">
        <v>140</v>
      </c>
      <c r="K10" s="22" t="s">
        <v>141</v>
      </c>
      <c r="L10" s="22" t="s">
        <v>141</v>
      </c>
      <c r="M10" s="23" t="s">
        <v>141</v>
      </c>
      <c r="N10" s="23" t="s">
        <v>141</v>
      </c>
      <c r="O10" s="23" t="s">
        <v>141</v>
      </c>
      <c r="P10" s="24" t="s">
        <v>141</v>
      </c>
      <c r="Q10" s="24" t="s">
        <v>51</v>
      </c>
      <c r="R10" s="24" t="s">
        <v>51</v>
      </c>
      <c r="S10" s="25" t="s">
        <v>141</v>
      </c>
      <c r="T10" s="25" t="s">
        <v>141</v>
      </c>
      <c r="U10" s="25" t="s">
        <v>141</v>
      </c>
      <c r="V10" s="22" t="s">
        <v>141</v>
      </c>
      <c r="W10" s="26" t="s">
        <v>51</v>
      </c>
      <c r="X10" s="24" t="s">
        <v>51</v>
      </c>
      <c r="Y10" s="25" t="s">
        <v>141</v>
      </c>
      <c r="Z10" s="25" t="s">
        <v>141</v>
      </c>
      <c r="AA10" s="25" t="s">
        <v>141</v>
      </c>
      <c r="AB10" s="22" t="s">
        <v>141</v>
      </c>
      <c r="AC10" s="22" t="s">
        <v>141</v>
      </c>
      <c r="AD10" s="22" t="s">
        <v>141</v>
      </c>
      <c r="AE10" s="23" t="s">
        <v>141</v>
      </c>
      <c r="AF10" s="23" t="s">
        <v>141</v>
      </c>
      <c r="AG10" s="23" t="s">
        <v>141</v>
      </c>
      <c r="AH10" s="24" t="s">
        <v>141</v>
      </c>
      <c r="AI10" s="27" t="s">
        <v>53</v>
      </c>
      <c r="AJ10" s="27" t="s">
        <v>69</v>
      </c>
      <c r="AK10" s="28" t="s">
        <v>142</v>
      </c>
      <c r="AL10" s="29" t="s">
        <v>143</v>
      </c>
      <c r="AM10" s="15">
        <v>64.0</v>
      </c>
      <c r="AN10" s="30" t="s">
        <v>57</v>
      </c>
      <c r="AO10" s="16" t="s">
        <v>72</v>
      </c>
      <c r="AP10" s="16" t="s">
        <v>83</v>
      </c>
      <c r="AQ10" s="31" t="s">
        <v>144</v>
      </c>
      <c r="AR10" s="31" t="s">
        <v>145</v>
      </c>
      <c r="AS10" s="32" t="s">
        <v>146</v>
      </c>
      <c r="AT10" s="15">
        <v>628.0</v>
      </c>
      <c r="AU10" s="33" t="s">
        <v>147</v>
      </c>
    </row>
    <row r="11" ht="56.25" customHeight="1">
      <c r="A11" s="15">
        <v>31.0</v>
      </c>
      <c r="B11" s="16" t="s">
        <v>148</v>
      </c>
      <c r="C11" s="27" t="str">
        <f>IMAGE("https://nh-cdn.catalogue.ac/MenuIcon/Ins69.png")</f>
        <v/>
      </c>
      <c r="D11" s="27" t="str">
        <f>IMAGE("https://nh-cdn.catalogue.ac/BookInsectIcon/InsectSeminonukegara.png")</f>
        <v/>
      </c>
      <c r="E11" s="18" t="str">
        <f>IMAGE("https://nh-cdn.catalogue.ac/FtrIcon/FtrInsectSeminonukegara.png")</f>
        <v/>
      </c>
      <c r="F11" s="15">
        <v>10.0</v>
      </c>
      <c r="G11" s="19" t="s">
        <v>130</v>
      </c>
      <c r="H11" s="16" t="s">
        <v>66</v>
      </c>
      <c r="I11" s="20">
        <v>50.0</v>
      </c>
      <c r="J11" s="21" t="s">
        <v>149</v>
      </c>
      <c r="K11" s="22" t="s">
        <v>51</v>
      </c>
      <c r="L11" s="22" t="s">
        <v>51</v>
      </c>
      <c r="M11" s="23" t="s">
        <v>51</v>
      </c>
      <c r="N11" s="23" t="s">
        <v>51</v>
      </c>
      <c r="O11" s="23" t="s">
        <v>51</v>
      </c>
      <c r="P11" s="24" t="s">
        <v>51</v>
      </c>
      <c r="Q11" s="24" t="s">
        <v>68</v>
      </c>
      <c r="R11" s="24" t="s">
        <v>68</v>
      </c>
      <c r="S11" s="25" t="s">
        <v>51</v>
      </c>
      <c r="T11" s="25" t="s">
        <v>51</v>
      </c>
      <c r="U11" s="25" t="s">
        <v>51</v>
      </c>
      <c r="V11" s="22" t="s">
        <v>51</v>
      </c>
      <c r="W11" s="26" t="s">
        <v>68</v>
      </c>
      <c r="X11" s="24" t="s">
        <v>68</v>
      </c>
      <c r="Y11" s="25" t="s">
        <v>51</v>
      </c>
      <c r="Z11" s="25" t="s">
        <v>51</v>
      </c>
      <c r="AA11" s="25" t="s">
        <v>51</v>
      </c>
      <c r="AB11" s="22" t="s">
        <v>51</v>
      </c>
      <c r="AC11" s="22" t="s">
        <v>51</v>
      </c>
      <c r="AD11" s="22" t="s">
        <v>51</v>
      </c>
      <c r="AE11" s="23" t="s">
        <v>51</v>
      </c>
      <c r="AF11" s="23" t="s">
        <v>51</v>
      </c>
      <c r="AG11" s="23" t="s">
        <v>51</v>
      </c>
      <c r="AH11" s="24" t="s">
        <v>51</v>
      </c>
      <c r="AI11" s="27" t="s">
        <v>53</v>
      </c>
      <c r="AJ11" s="27" t="s">
        <v>69</v>
      </c>
      <c r="AK11" s="28" t="s">
        <v>150</v>
      </c>
      <c r="AL11" s="29" t="s">
        <v>151</v>
      </c>
      <c r="AM11" s="15">
        <v>64.0</v>
      </c>
      <c r="AN11" s="30" t="s">
        <v>152</v>
      </c>
      <c r="AO11" s="16" t="s">
        <v>94</v>
      </c>
      <c r="AP11" s="16" t="s">
        <v>59</v>
      </c>
      <c r="AQ11" s="31" t="s">
        <v>153</v>
      </c>
      <c r="AR11" s="31" t="s">
        <v>154</v>
      </c>
      <c r="AS11" s="32" t="s">
        <v>155</v>
      </c>
      <c r="AT11" s="15">
        <v>641.0</v>
      </c>
      <c r="AU11" s="33" t="s">
        <v>156</v>
      </c>
    </row>
    <row r="12" ht="56.25" customHeight="1">
      <c r="A12" s="15">
        <v>47.0</v>
      </c>
      <c r="B12" s="16" t="s">
        <v>157</v>
      </c>
      <c r="C12" s="27" t="str">
        <f>IMAGE("https://nh-cdn.catalogue.ac/MenuIcon/Ins39.png")</f>
        <v/>
      </c>
      <c r="D12" s="27" t="str">
        <f>IMAGE("https://nh-cdn.catalogue.ac/BookInsectIcon/InsectGomadarakamikiri.png")</f>
        <v/>
      </c>
      <c r="E12" s="18" t="str">
        <f>IMAGE("https://nh-cdn.catalogue.ac/FtrIcon/FtrInsectGomadarakamikiri.png")</f>
        <v/>
      </c>
      <c r="F12" s="15">
        <v>350.0</v>
      </c>
      <c r="G12" s="16" t="s">
        <v>158</v>
      </c>
      <c r="H12" s="16" t="s">
        <v>49</v>
      </c>
      <c r="I12" s="20">
        <v>0.0</v>
      </c>
      <c r="J12" s="21" t="s">
        <v>159</v>
      </c>
      <c r="K12" s="22" t="s">
        <v>68</v>
      </c>
      <c r="L12" s="22" t="s">
        <v>68</v>
      </c>
      <c r="M12" s="23" t="s">
        <v>68</v>
      </c>
      <c r="N12" s="23" t="s">
        <v>68</v>
      </c>
      <c r="O12" s="23" t="s">
        <v>68</v>
      </c>
      <c r="P12" s="24" t="s">
        <v>68</v>
      </c>
      <c r="Q12" s="24" t="s">
        <v>68</v>
      </c>
      <c r="R12" s="24" t="s">
        <v>68</v>
      </c>
      <c r="S12" s="25" t="s">
        <v>68</v>
      </c>
      <c r="T12" s="25" t="s">
        <v>68</v>
      </c>
      <c r="U12" s="25" t="s">
        <v>68</v>
      </c>
      <c r="V12" s="22" t="s">
        <v>68</v>
      </c>
      <c r="W12" s="26" t="s">
        <v>68</v>
      </c>
      <c r="X12" s="24" t="s">
        <v>68</v>
      </c>
      <c r="Y12" s="25" t="s">
        <v>68</v>
      </c>
      <c r="Z12" s="25" t="s">
        <v>68</v>
      </c>
      <c r="AA12" s="25" t="s">
        <v>68</v>
      </c>
      <c r="AB12" s="22" t="s">
        <v>68</v>
      </c>
      <c r="AC12" s="22" t="s">
        <v>68</v>
      </c>
      <c r="AD12" s="22" t="s">
        <v>68</v>
      </c>
      <c r="AE12" s="23" t="s">
        <v>68</v>
      </c>
      <c r="AF12" s="23" t="s">
        <v>68</v>
      </c>
      <c r="AG12" s="23" t="s">
        <v>68</v>
      </c>
      <c r="AH12" s="24" t="s">
        <v>68</v>
      </c>
      <c r="AI12" s="27" t="s">
        <v>53</v>
      </c>
      <c r="AJ12" s="27" t="s">
        <v>69</v>
      </c>
      <c r="AK12" s="28" t="s">
        <v>160</v>
      </c>
      <c r="AL12" s="29" t="s">
        <v>161</v>
      </c>
      <c r="AM12" s="15">
        <v>64.0</v>
      </c>
      <c r="AN12" s="30" t="s">
        <v>57</v>
      </c>
      <c r="AO12" s="16" t="s">
        <v>72</v>
      </c>
      <c r="AP12" s="16" t="s">
        <v>59</v>
      </c>
      <c r="AQ12" s="31" t="s">
        <v>162</v>
      </c>
      <c r="AR12" s="31" t="s">
        <v>163</v>
      </c>
      <c r="AS12" s="32" t="s">
        <v>164</v>
      </c>
      <c r="AT12" s="15">
        <v>609.0</v>
      </c>
      <c r="AU12" s="33" t="s">
        <v>165</v>
      </c>
    </row>
    <row r="13" ht="56.25" customHeight="1">
      <c r="A13" s="15">
        <v>5.0</v>
      </c>
      <c r="B13" s="16" t="s">
        <v>166</v>
      </c>
      <c r="C13" s="27" t="str">
        <f>IMAGE("https://nh-cdn.catalogue.ac/MenuIcon/Ins72.png")</f>
        <v/>
      </c>
      <c r="D13" s="27" t="str">
        <f>IMAGE("https://nh-cdn.catalogue.ac/BookInsectIcon/InsectAosujiageha.png")</f>
        <v/>
      </c>
      <c r="E13" s="18" t="str">
        <f>IMAGE("https://nh-cdn.catalogue.ac/FtrIcon/FtrInsectAosujiageha.png")</f>
        <v/>
      </c>
      <c r="F13" s="15">
        <v>300.0</v>
      </c>
      <c r="G13" s="32" t="s">
        <v>167</v>
      </c>
      <c r="H13" s="16" t="s">
        <v>49</v>
      </c>
      <c r="I13" s="20">
        <v>0.0</v>
      </c>
      <c r="J13" s="21" t="s">
        <v>131</v>
      </c>
      <c r="K13" s="22" t="s">
        <v>51</v>
      </c>
      <c r="L13" s="22" t="s">
        <v>51</v>
      </c>
      <c r="M13" s="23" t="s">
        <v>51</v>
      </c>
      <c r="N13" s="23" t="s">
        <v>168</v>
      </c>
      <c r="O13" s="23" t="s">
        <v>168</v>
      </c>
      <c r="P13" s="24" t="s">
        <v>168</v>
      </c>
      <c r="Q13" s="24" t="s">
        <v>168</v>
      </c>
      <c r="R13" s="24" t="s">
        <v>168</v>
      </c>
      <c r="S13" s="25" t="s">
        <v>51</v>
      </c>
      <c r="T13" s="25" t="s">
        <v>51</v>
      </c>
      <c r="U13" s="25" t="s">
        <v>51</v>
      </c>
      <c r="V13" s="22" t="s">
        <v>51</v>
      </c>
      <c r="W13" s="26" t="s">
        <v>168</v>
      </c>
      <c r="X13" s="24" t="s">
        <v>168</v>
      </c>
      <c r="Y13" s="25" t="s">
        <v>51</v>
      </c>
      <c r="Z13" s="25" t="s">
        <v>51</v>
      </c>
      <c r="AA13" s="25" t="s">
        <v>51</v>
      </c>
      <c r="AB13" s="22" t="s">
        <v>51</v>
      </c>
      <c r="AC13" s="22" t="s">
        <v>51</v>
      </c>
      <c r="AD13" s="22" t="s">
        <v>51</v>
      </c>
      <c r="AE13" s="23" t="s">
        <v>51</v>
      </c>
      <c r="AF13" s="23" t="s">
        <v>168</v>
      </c>
      <c r="AG13" s="23" t="s">
        <v>168</v>
      </c>
      <c r="AH13" s="24" t="s">
        <v>168</v>
      </c>
      <c r="AI13" s="27" t="s">
        <v>53</v>
      </c>
      <c r="AJ13" s="27" t="s">
        <v>54</v>
      </c>
      <c r="AK13" s="28" t="s">
        <v>169</v>
      </c>
      <c r="AL13" s="29" t="s">
        <v>170</v>
      </c>
      <c r="AM13" s="15">
        <v>64.0</v>
      </c>
      <c r="AN13" s="30" t="s">
        <v>57</v>
      </c>
      <c r="AO13" s="16" t="s">
        <v>72</v>
      </c>
      <c r="AP13" s="16" t="s">
        <v>59</v>
      </c>
      <c r="AQ13" s="32" t="s">
        <v>171</v>
      </c>
      <c r="AR13" s="30" t="s">
        <v>172</v>
      </c>
      <c r="AS13" s="32" t="s">
        <v>173</v>
      </c>
      <c r="AT13" s="15">
        <v>3477.0</v>
      </c>
      <c r="AU13" s="33" t="s">
        <v>174</v>
      </c>
    </row>
    <row r="14" ht="56.25" customHeight="1">
      <c r="A14" s="15">
        <v>1.0</v>
      </c>
      <c r="B14" s="16" t="s">
        <v>175</v>
      </c>
      <c r="C14" s="27" t="str">
        <f>IMAGE("https://nh-cdn.catalogue.ac/MenuIcon/Ins0.png")</f>
        <v/>
      </c>
      <c r="D14" s="27" t="str">
        <f>IMAGE("https://nh-cdn.catalogue.ac/BookInsectIcon/InsectMonshirocho.png")</f>
        <v/>
      </c>
      <c r="E14" s="18" t="str">
        <f>IMAGE("https://nh-cdn.catalogue.ac/FtrIcon/FtrInsectMonshirocho.png")</f>
        <v/>
      </c>
      <c r="F14" s="15">
        <v>160.0</v>
      </c>
      <c r="G14" s="32" t="s">
        <v>167</v>
      </c>
      <c r="H14" s="16" t="s">
        <v>49</v>
      </c>
      <c r="I14" s="20">
        <v>0.0</v>
      </c>
      <c r="J14" s="21" t="s">
        <v>111</v>
      </c>
      <c r="K14" s="22" t="s">
        <v>168</v>
      </c>
      <c r="L14" s="22" t="s">
        <v>168</v>
      </c>
      <c r="M14" s="23" t="s">
        <v>168</v>
      </c>
      <c r="N14" s="23" t="s">
        <v>168</v>
      </c>
      <c r="O14" s="23" t="s">
        <v>168</v>
      </c>
      <c r="P14" s="24" t="s">
        <v>168</v>
      </c>
      <c r="Q14" s="24" t="s">
        <v>51</v>
      </c>
      <c r="R14" s="24" t="s">
        <v>51</v>
      </c>
      <c r="S14" s="25" t="s">
        <v>168</v>
      </c>
      <c r="T14" s="25" t="s">
        <v>168</v>
      </c>
      <c r="U14" s="25" t="s">
        <v>168</v>
      </c>
      <c r="V14" s="22" t="s">
        <v>168</v>
      </c>
      <c r="W14" s="26" t="s">
        <v>51</v>
      </c>
      <c r="X14" s="24" t="s">
        <v>51</v>
      </c>
      <c r="Y14" s="25" t="s">
        <v>168</v>
      </c>
      <c r="Z14" s="25" t="s">
        <v>168</v>
      </c>
      <c r="AA14" s="25" t="s">
        <v>168</v>
      </c>
      <c r="AB14" s="22" t="s">
        <v>168</v>
      </c>
      <c r="AC14" s="22" t="s">
        <v>168</v>
      </c>
      <c r="AD14" s="22" t="s">
        <v>168</v>
      </c>
      <c r="AE14" s="23" t="s">
        <v>168</v>
      </c>
      <c r="AF14" s="23" t="s">
        <v>168</v>
      </c>
      <c r="AG14" s="23" t="s">
        <v>168</v>
      </c>
      <c r="AH14" s="24" t="s">
        <v>168</v>
      </c>
      <c r="AI14" s="27" t="s">
        <v>53</v>
      </c>
      <c r="AJ14" s="27" t="s">
        <v>69</v>
      </c>
      <c r="AK14" s="28" t="s">
        <v>176</v>
      </c>
      <c r="AL14" s="29" t="s">
        <v>177</v>
      </c>
      <c r="AM14" s="15">
        <v>64.0</v>
      </c>
      <c r="AN14" s="30" t="s">
        <v>57</v>
      </c>
      <c r="AO14" s="16" t="s">
        <v>73</v>
      </c>
      <c r="AP14" s="16" t="s">
        <v>59</v>
      </c>
      <c r="AQ14" s="32" t="s">
        <v>178</v>
      </c>
      <c r="AR14" s="30" t="s">
        <v>179</v>
      </c>
      <c r="AS14" s="16" t="s">
        <v>180</v>
      </c>
      <c r="AT14" s="15">
        <v>626.0</v>
      </c>
      <c r="AU14" s="33" t="s">
        <v>181</v>
      </c>
    </row>
    <row r="15" ht="56.25" customHeight="1">
      <c r="A15" s="15">
        <v>20.0</v>
      </c>
      <c r="B15" s="16" t="s">
        <v>182</v>
      </c>
      <c r="C15" s="27" t="str">
        <f>IMAGE("https://nh-cdn.catalogue.ac/MenuIcon/Ins30.png")</f>
        <v/>
      </c>
      <c r="D15" s="27" t="str">
        <f>IMAGE("https://nh-cdn.catalogue.ac/BookInsectIcon/InsectKohrogi.png")</f>
        <v/>
      </c>
      <c r="E15" s="18" t="str">
        <f>IMAGE("https://nh-cdn.catalogue.ac/FtrIcon/FtrInsectKohrogi.png")</f>
        <v/>
      </c>
      <c r="F15" s="15">
        <v>130.0</v>
      </c>
      <c r="G15" s="19" t="s">
        <v>110</v>
      </c>
      <c r="H15" s="16" t="s">
        <v>49</v>
      </c>
      <c r="I15" s="20">
        <v>0.0</v>
      </c>
      <c r="J15" s="21" t="s">
        <v>111</v>
      </c>
      <c r="K15" s="22" t="s">
        <v>51</v>
      </c>
      <c r="L15" s="22" t="s">
        <v>51</v>
      </c>
      <c r="M15" s="23" t="s">
        <v>51</v>
      </c>
      <c r="N15" s="23" t="s">
        <v>51</v>
      </c>
      <c r="O15" s="23" t="s">
        <v>51</v>
      </c>
      <c r="P15" s="24" t="s">
        <v>51</v>
      </c>
      <c r="Q15" s="24" t="s">
        <v>51</v>
      </c>
      <c r="R15" s="24" t="s">
        <v>51</v>
      </c>
      <c r="S15" s="25" t="s">
        <v>112</v>
      </c>
      <c r="T15" s="25" t="s">
        <v>112</v>
      </c>
      <c r="U15" s="25" t="s">
        <v>112</v>
      </c>
      <c r="V15" s="22" t="s">
        <v>51</v>
      </c>
      <c r="W15" s="26" t="s">
        <v>51</v>
      </c>
      <c r="X15" s="24" t="s">
        <v>51</v>
      </c>
      <c r="Y15" s="25" t="s">
        <v>112</v>
      </c>
      <c r="Z15" s="25" t="s">
        <v>112</v>
      </c>
      <c r="AA15" s="25" t="s">
        <v>112</v>
      </c>
      <c r="AB15" s="22" t="s">
        <v>51</v>
      </c>
      <c r="AC15" s="22" t="s">
        <v>51</v>
      </c>
      <c r="AD15" s="22" t="s">
        <v>51</v>
      </c>
      <c r="AE15" s="23" t="s">
        <v>51</v>
      </c>
      <c r="AF15" s="23" t="s">
        <v>51</v>
      </c>
      <c r="AG15" s="23" t="s">
        <v>51</v>
      </c>
      <c r="AH15" s="24" t="s">
        <v>51</v>
      </c>
      <c r="AI15" s="27" t="s">
        <v>53</v>
      </c>
      <c r="AJ15" s="27" t="s">
        <v>69</v>
      </c>
      <c r="AK15" s="28" t="s">
        <v>183</v>
      </c>
      <c r="AL15" s="29" t="s">
        <v>184</v>
      </c>
      <c r="AM15" s="15">
        <v>64.0</v>
      </c>
      <c r="AN15" s="30" t="s">
        <v>57</v>
      </c>
      <c r="AO15" s="16" t="s">
        <v>94</v>
      </c>
      <c r="AP15" s="16" t="s">
        <v>115</v>
      </c>
      <c r="AQ15" s="30" t="s">
        <v>185</v>
      </c>
      <c r="AR15" s="30" t="s">
        <v>186</v>
      </c>
      <c r="AS15" s="16" t="s">
        <v>187</v>
      </c>
      <c r="AT15" s="15">
        <v>617.0</v>
      </c>
      <c r="AU15" s="33" t="s">
        <v>188</v>
      </c>
    </row>
    <row r="16" ht="56.25" customHeight="1">
      <c r="A16" s="15">
        <v>59.0</v>
      </c>
      <c r="B16" s="16" t="s">
        <v>189</v>
      </c>
      <c r="C16" s="27" t="str">
        <f>IMAGE("https://nh-cdn.catalogue.ac/MenuIcon/Ins49.png")</f>
        <v/>
      </c>
      <c r="D16" s="27" t="str">
        <f>IMAGE("https://nh-cdn.catalogue.ac/BookInsectIcon/InsectHosoakakuwagata.png")</f>
        <v/>
      </c>
      <c r="E16" s="18" t="str">
        <f>IMAGE("https://nh-cdn.catalogue.ac/FtrIcon/FtrInsectHosoakakuwagata.png")</f>
        <v/>
      </c>
      <c r="F16" s="15">
        <v>8000.0</v>
      </c>
      <c r="G16" s="19" t="s">
        <v>121</v>
      </c>
      <c r="H16" s="19" t="s">
        <v>66</v>
      </c>
      <c r="I16" s="20">
        <v>100.0</v>
      </c>
      <c r="J16" s="21" t="s">
        <v>122</v>
      </c>
      <c r="K16" s="22" t="s">
        <v>51</v>
      </c>
      <c r="L16" s="22" t="s">
        <v>51</v>
      </c>
      <c r="M16" s="23" t="s">
        <v>51</v>
      </c>
      <c r="N16" s="23" t="s">
        <v>51</v>
      </c>
      <c r="O16" s="23" t="s">
        <v>51</v>
      </c>
      <c r="P16" s="24" t="s">
        <v>51</v>
      </c>
      <c r="Q16" s="24" t="s">
        <v>112</v>
      </c>
      <c r="R16" s="24" t="s">
        <v>112</v>
      </c>
      <c r="S16" s="25" t="s">
        <v>51</v>
      </c>
      <c r="T16" s="25" t="s">
        <v>51</v>
      </c>
      <c r="U16" s="25" t="s">
        <v>51</v>
      </c>
      <c r="V16" s="22" t="s">
        <v>51</v>
      </c>
      <c r="W16" s="26" t="s">
        <v>112</v>
      </c>
      <c r="X16" s="24" t="s">
        <v>112</v>
      </c>
      <c r="Y16" s="25" t="s">
        <v>51</v>
      </c>
      <c r="Z16" s="25" t="s">
        <v>51</v>
      </c>
      <c r="AA16" s="25" t="s">
        <v>51</v>
      </c>
      <c r="AB16" s="22" t="s">
        <v>51</v>
      </c>
      <c r="AC16" s="22" t="s">
        <v>51</v>
      </c>
      <c r="AD16" s="22" t="s">
        <v>51</v>
      </c>
      <c r="AE16" s="23" t="s">
        <v>51</v>
      </c>
      <c r="AF16" s="23" t="s">
        <v>51</v>
      </c>
      <c r="AG16" s="23" t="s">
        <v>51</v>
      </c>
      <c r="AH16" s="24" t="s">
        <v>51</v>
      </c>
      <c r="AI16" s="27" t="s">
        <v>53</v>
      </c>
      <c r="AJ16" s="27" t="s">
        <v>54</v>
      </c>
      <c r="AK16" s="28" t="s">
        <v>190</v>
      </c>
      <c r="AL16" s="29" t="s">
        <v>191</v>
      </c>
      <c r="AM16" s="15">
        <v>64.0</v>
      </c>
      <c r="AN16" s="30" t="s">
        <v>57</v>
      </c>
      <c r="AO16" s="16" t="s">
        <v>72</v>
      </c>
      <c r="AP16" s="16" t="s">
        <v>72</v>
      </c>
      <c r="AQ16" s="30" t="s">
        <v>192</v>
      </c>
      <c r="AR16" s="30" t="s">
        <v>193</v>
      </c>
      <c r="AS16" s="16" t="s">
        <v>194</v>
      </c>
      <c r="AT16" s="15">
        <v>602.0</v>
      </c>
      <c r="AU16" s="33" t="s">
        <v>195</v>
      </c>
    </row>
    <row r="17" ht="56.25" customHeight="1">
      <c r="A17" s="15">
        <v>35.0</v>
      </c>
      <c r="B17" s="16" t="s">
        <v>196</v>
      </c>
      <c r="C17" s="27" t="str">
        <f>IMAGE("https://nh-cdn.catalogue.ac/MenuIcon/Ins81.png")</f>
        <v/>
      </c>
      <c r="D17" s="27" t="str">
        <f>IMAGE("https://nh-cdn.catalogue.ac/BookInsectIcon/InsectItotonbo.png")</f>
        <v/>
      </c>
      <c r="E17" s="18" t="str">
        <f>IMAGE("https://nh-cdn.catalogue.ac/FtrIcon/FtrInsectItotonbo.png")</f>
        <v/>
      </c>
      <c r="F17" s="15">
        <v>500.0</v>
      </c>
      <c r="G17" s="32" t="s">
        <v>101</v>
      </c>
      <c r="H17" s="16" t="s">
        <v>49</v>
      </c>
      <c r="I17" s="20">
        <v>0.0</v>
      </c>
      <c r="J17" s="21" t="s">
        <v>111</v>
      </c>
      <c r="K17" s="22" t="s">
        <v>68</v>
      </c>
      <c r="L17" s="22" t="s">
        <v>68</v>
      </c>
      <c r="M17" s="23" t="s">
        <v>51</v>
      </c>
      <c r="N17" s="23" t="s">
        <v>51</v>
      </c>
      <c r="O17" s="23" t="s">
        <v>51</v>
      </c>
      <c r="P17" s="24" t="s">
        <v>51</v>
      </c>
      <c r="Q17" s="24" t="s">
        <v>51</v>
      </c>
      <c r="R17" s="24" t="s">
        <v>51</v>
      </c>
      <c r="S17" s="25" t="s">
        <v>51</v>
      </c>
      <c r="T17" s="25" t="s">
        <v>51</v>
      </c>
      <c r="U17" s="25" t="s">
        <v>68</v>
      </c>
      <c r="V17" s="22" t="s">
        <v>68</v>
      </c>
      <c r="W17" s="26" t="s">
        <v>51</v>
      </c>
      <c r="X17" s="24" t="s">
        <v>51</v>
      </c>
      <c r="Y17" s="25" t="s">
        <v>51</v>
      </c>
      <c r="Z17" s="25" t="s">
        <v>51</v>
      </c>
      <c r="AA17" s="25" t="s">
        <v>68</v>
      </c>
      <c r="AB17" s="22" t="s">
        <v>68</v>
      </c>
      <c r="AC17" s="22" t="s">
        <v>68</v>
      </c>
      <c r="AD17" s="22" t="s">
        <v>68</v>
      </c>
      <c r="AE17" s="23" t="s">
        <v>51</v>
      </c>
      <c r="AF17" s="23" t="s">
        <v>51</v>
      </c>
      <c r="AG17" s="23" t="s">
        <v>51</v>
      </c>
      <c r="AH17" s="24" t="s">
        <v>51</v>
      </c>
      <c r="AI17" s="27" t="s">
        <v>53</v>
      </c>
      <c r="AJ17" s="27" t="s">
        <v>54</v>
      </c>
      <c r="AK17" s="28" t="s">
        <v>197</v>
      </c>
      <c r="AL17" s="29" t="s">
        <v>198</v>
      </c>
      <c r="AM17" s="15">
        <v>64.0</v>
      </c>
      <c r="AN17" s="30" t="s">
        <v>57</v>
      </c>
      <c r="AO17" s="16" t="s">
        <v>59</v>
      </c>
      <c r="AP17" s="16" t="s">
        <v>95</v>
      </c>
      <c r="AQ17" s="30" t="s">
        <v>199</v>
      </c>
      <c r="AR17" s="30" t="s">
        <v>200</v>
      </c>
      <c r="AS17" s="16" t="s">
        <v>201</v>
      </c>
      <c r="AT17" s="15">
        <v>5339.0</v>
      </c>
      <c r="AU17" s="33" t="s">
        <v>202</v>
      </c>
    </row>
    <row r="18" ht="56.25" customHeight="1">
      <c r="A18" s="15">
        <v>33.0</v>
      </c>
      <c r="B18" s="16" t="s">
        <v>203</v>
      </c>
      <c r="C18" s="27" t="str">
        <f>IMAGE("https://nh-cdn.catalogue.ac/MenuIcon/Ins23.png")</f>
        <v/>
      </c>
      <c r="D18" s="27" t="str">
        <f>IMAGE("https://nh-cdn.catalogue.ac/BookInsectIcon/InsectGinyanma.png")</f>
        <v/>
      </c>
      <c r="E18" s="18" t="str">
        <f>IMAGE("https://nh-cdn.catalogue.ac/FtrIcon/FtrInsectGinyanma.png")</f>
        <v/>
      </c>
      <c r="F18" s="15">
        <v>230.0</v>
      </c>
      <c r="G18" s="32" t="s">
        <v>101</v>
      </c>
      <c r="H18" s="16" t="s">
        <v>49</v>
      </c>
      <c r="I18" s="20">
        <v>0.0</v>
      </c>
      <c r="J18" s="21" t="s">
        <v>204</v>
      </c>
      <c r="K18" s="22" t="s">
        <v>51</v>
      </c>
      <c r="L18" s="22" t="s">
        <v>51</v>
      </c>
      <c r="M18" s="23" t="s">
        <v>51</v>
      </c>
      <c r="N18" s="23" t="s">
        <v>52</v>
      </c>
      <c r="O18" s="23" t="s">
        <v>52</v>
      </c>
      <c r="P18" s="24" t="s">
        <v>52</v>
      </c>
      <c r="Q18" s="24" t="s">
        <v>52</v>
      </c>
      <c r="R18" s="24" t="s">
        <v>52</v>
      </c>
      <c r="S18" s="25" t="s">
        <v>52</v>
      </c>
      <c r="T18" s="25" t="s">
        <v>52</v>
      </c>
      <c r="U18" s="25" t="s">
        <v>51</v>
      </c>
      <c r="V18" s="22" t="s">
        <v>51</v>
      </c>
      <c r="W18" s="26" t="s">
        <v>52</v>
      </c>
      <c r="X18" s="24" t="s">
        <v>52</v>
      </c>
      <c r="Y18" s="25" t="s">
        <v>52</v>
      </c>
      <c r="Z18" s="25" t="s">
        <v>52</v>
      </c>
      <c r="AA18" s="25" t="s">
        <v>51</v>
      </c>
      <c r="AB18" s="22" t="s">
        <v>51</v>
      </c>
      <c r="AC18" s="22" t="s">
        <v>51</v>
      </c>
      <c r="AD18" s="22" t="s">
        <v>51</v>
      </c>
      <c r="AE18" s="23" t="s">
        <v>51</v>
      </c>
      <c r="AF18" s="23" t="s">
        <v>52</v>
      </c>
      <c r="AG18" s="23" t="s">
        <v>52</v>
      </c>
      <c r="AH18" s="24" t="s">
        <v>52</v>
      </c>
      <c r="AI18" s="27" t="s">
        <v>53</v>
      </c>
      <c r="AJ18" s="27" t="s">
        <v>54</v>
      </c>
      <c r="AK18" s="28" t="s">
        <v>205</v>
      </c>
      <c r="AL18" s="29" t="s">
        <v>206</v>
      </c>
      <c r="AM18" s="15">
        <v>64.0</v>
      </c>
      <c r="AN18" s="30" t="s">
        <v>57</v>
      </c>
      <c r="AO18" s="16" t="s">
        <v>59</v>
      </c>
      <c r="AP18" s="16" t="s">
        <v>59</v>
      </c>
      <c r="AQ18" s="30" t="s">
        <v>207</v>
      </c>
      <c r="AR18" s="30" t="s">
        <v>208</v>
      </c>
      <c r="AS18" s="16" t="s">
        <v>209</v>
      </c>
      <c r="AT18" s="15">
        <v>595.0</v>
      </c>
      <c r="AU18" s="33" t="s">
        <v>210</v>
      </c>
    </row>
    <row r="19" ht="56.25" customHeight="1">
      <c r="A19" s="15">
        <v>39.0</v>
      </c>
      <c r="B19" s="16" t="s">
        <v>211</v>
      </c>
      <c r="C19" s="27" t="str">
        <f>IMAGE("https://nh-cdn.catalogue.ac/MenuIcon/Ins28.png")</f>
        <v/>
      </c>
      <c r="D19" s="27" t="str">
        <f>IMAGE("https://nh-cdn.catalogue.ac/BookInsectIcon/InsectGengorou.png")</f>
        <v/>
      </c>
      <c r="E19" s="18" t="str">
        <f>IMAGE("https://nh-cdn.catalogue.ac/FtrIcon/FtrInsectGengorou.png")</f>
        <v/>
      </c>
      <c r="F19" s="15">
        <v>800.0</v>
      </c>
      <c r="G19" s="19" t="s">
        <v>212</v>
      </c>
      <c r="H19" s="19" t="s">
        <v>66</v>
      </c>
      <c r="I19" s="20">
        <v>0.0</v>
      </c>
      <c r="J19" s="21" t="s">
        <v>159</v>
      </c>
      <c r="K19" s="22" t="s">
        <v>51</v>
      </c>
      <c r="L19" s="22" t="s">
        <v>51</v>
      </c>
      <c r="M19" s="23" t="s">
        <v>51</v>
      </c>
      <c r="N19" s="23" t="s">
        <v>51</v>
      </c>
      <c r="O19" s="23" t="s">
        <v>213</v>
      </c>
      <c r="P19" s="24" t="s">
        <v>213</v>
      </c>
      <c r="Q19" s="24" t="s">
        <v>213</v>
      </c>
      <c r="R19" s="24" t="s">
        <v>213</v>
      </c>
      <c r="S19" s="25" t="s">
        <v>213</v>
      </c>
      <c r="T19" s="25" t="s">
        <v>51</v>
      </c>
      <c r="U19" s="25" t="s">
        <v>51</v>
      </c>
      <c r="V19" s="22" t="s">
        <v>51</v>
      </c>
      <c r="W19" s="26" t="s">
        <v>213</v>
      </c>
      <c r="X19" s="24" t="s">
        <v>213</v>
      </c>
      <c r="Y19" s="25" t="s">
        <v>213</v>
      </c>
      <c r="Z19" s="25" t="s">
        <v>51</v>
      </c>
      <c r="AA19" s="25" t="s">
        <v>51</v>
      </c>
      <c r="AB19" s="22" t="s">
        <v>51</v>
      </c>
      <c r="AC19" s="22" t="s">
        <v>51</v>
      </c>
      <c r="AD19" s="22" t="s">
        <v>51</v>
      </c>
      <c r="AE19" s="23" t="s">
        <v>51</v>
      </c>
      <c r="AF19" s="23" t="s">
        <v>51</v>
      </c>
      <c r="AG19" s="23" t="s">
        <v>213</v>
      </c>
      <c r="AH19" s="24" t="s">
        <v>213</v>
      </c>
      <c r="AI19" s="27" t="s">
        <v>53</v>
      </c>
      <c r="AJ19" s="27" t="s">
        <v>69</v>
      </c>
      <c r="AK19" s="28" t="s">
        <v>214</v>
      </c>
      <c r="AL19" s="29" t="s">
        <v>215</v>
      </c>
      <c r="AM19" s="15">
        <v>64.0</v>
      </c>
      <c r="AN19" s="30" t="s">
        <v>57</v>
      </c>
      <c r="AO19" s="16" t="s">
        <v>72</v>
      </c>
      <c r="AP19" s="16" t="s">
        <v>95</v>
      </c>
      <c r="AQ19" s="30" t="s">
        <v>216</v>
      </c>
      <c r="AR19" s="30" t="s">
        <v>217</v>
      </c>
      <c r="AS19" s="16" t="s">
        <v>218</v>
      </c>
      <c r="AT19" s="15">
        <v>594.0</v>
      </c>
      <c r="AU19" s="33" t="s">
        <v>219</v>
      </c>
    </row>
    <row r="20" ht="56.25" customHeight="1">
      <c r="A20" s="15">
        <v>53.0</v>
      </c>
      <c r="B20" s="16" t="s">
        <v>220</v>
      </c>
      <c r="C20" s="27" t="str">
        <f>IMAGE("https://nh-cdn.catalogue.ac/MenuIcon/Ins75.png")</f>
        <v/>
      </c>
      <c r="D20" s="27" t="str">
        <f>IMAGE("https://nh-cdn.catalogue.ac/BookInsectIcon/InsectKanabun.png")</f>
        <v/>
      </c>
      <c r="E20" s="18" t="str">
        <f>IMAGE("https://nh-cdn.catalogue.ac/FtrIcon/FtrInsectKanabun.png")</f>
        <v/>
      </c>
      <c r="F20" s="15">
        <v>200.0</v>
      </c>
      <c r="G20" s="16" t="s">
        <v>79</v>
      </c>
      <c r="H20" s="16" t="s">
        <v>66</v>
      </c>
      <c r="I20" s="20">
        <v>0.0</v>
      </c>
      <c r="J20" s="21" t="s">
        <v>204</v>
      </c>
      <c r="K20" s="22" t="s">
        <v>51</v>
      </c>
      <c r="L20" s="22" t="s">
        <v>51</v>
      </c>
      <c r="M20" s="23" t="s">
        <v>51</v>
      </c>
      <c r="N20" s="23" t="s">
        <v>51</v>
      </c>
      <c r="O20" s="23" t="s">
        <v>51</v>
      </c>
      <c r="P20" s="24" t="s">
        <v>68</v>
      </c>
      <c r="Q20" s="24" t="s">
        <v>68</v>
      </c>
      <c r="R20" s="24" t="s">
        <v>68</v>
      </c>
      <c r="S20" s="25" t="s">
        <v>51</v>
      </c>
      <c r="T20" s="25" t="s">
        <v>51</v>
      </c>
      <c r="U20" s="25" t="s">
        <v>51</v>
      </c>
      <c r="V20" s="22" t="s">
        <v>51</v>
      </c>
      <c r="W20" s="26" t="s">
        <v>68</v>
      </c>
      <c r="X20" s="24" t="s">
        <v>68</v>
      </c>
      <c r="Y20" s="25" t="s">
        <v>51</v>
      </c>
      <c r="Z20" s="25" t="s">
        <v>51</v>
      </c>
      <c r="AA20" s="25" t="s">
        <v>51</v>
      </c>
      <c r="AB20" s="22" t="s">
        <v>51</v>
      </c>
      <c r="AC20" s="22" t="s">
        <v>51</v>
      </c>
      <c r="AD20" s="22" t="s">
        <v>51</v>
      </c>
      <c r="AE20" s="23" t="s">
        <v>51</v>
      </c>
      <c r="AF20" s="23" t="s">
        <v>51</v>
      </c>
      <c r="AG20" s="23" t="s">
        <v>51</v>
      </c>
      <c r="AH20" s="24" t="s">
        <v>68</v>
      </c>
      <c r="AI20" s="27" t="s">
        <v>53</v>
      </c>
      <c r="AJ20" s="27" t="s">
        <v>69</v>
      </c>
      <c r="AK20" s="28" t="s">
        <v>221</v>
      </c>
      <c r="AL20" s="29" t="s">
        <v>222</v>
      </c>
      <c r="AM20" s="15">
        <v>64.0</v>
      </c>
      <c r="AN20" s="30" t="s">
        <v>57</v>
      </c>
      <c r="AO20" s="16" t="s">
        <v>59</v>
      </c>
      <c r="AP20" s="16" t="s">
        <v>95</v>
      </c>
      <c r="AQ20" s="30" t="s">
        <v>223</v>
      </c>
      <c r="AR20" s="30" t="s">
        <v>224</v>
      </c>
      <c r="AS20" s="16" t="s">
        <v>225</v>
      </c>
      <c r="AT20" s="15">
        <v>3480.0</v>
      </c>
      <c r="AU20" s="33" t="s">
        <v>226</v>
      </c>
    </row>
    <row r="21" ht="56.25" customHeight="1">
      <c r="A21" s="15">
        <v>50.0</v>
      </c>
      <c r="B21" s="16" t="s">
        <v>227</v>
      </c>
      <c r="C21" s="27" t="str">
        <f>IMAGE("https://nh-cdn.catalogue.ac/MenuIcon/Ins40.png")</f>
        <v/>
      </c>
      <c r="D21" s="27" t="str">
        <f>IMAGE("https://nh-cdn.catalogue.ac/BookInsectIcon/InsectFunkorogashi.png")</f>
        <v/>
      </c>
      <c r="E21" s="18" t="str">
        <f>IMAGE("https://nh-cdn.catalogue.ac/FtrIcon/FtrInsectFunkorogashi.png")</f>
        <v/>
      </c>
      <c r="F21" s="15">
        <v>3000.0</v>
      </c>
      <c r="G21" s="16" t="s">
        <v>228</v>
      </c>
      <c r="H21" s="16" t="s">
        <v>66</v>
      </c>
      <c r="I21" s="20">
        <v>0.0</v>
      </c>
      <c r="J21" s="21" t="s">
        <v>159</v>
      </c>
      <c r="K21" s="22" t="s">
        <v>68</v>
      </c>
      <c r="L21" s="22" t="s">
        <v>68</v>
      </c>
      <c r="M21" s="23" t="s">
        <v>51</v>
      </c>
      <c r="N21" s="23" t="s">
        <v>51</v>
      </c>
      <c r="O21" s="23" t="s">
        <v>51</v>
      </c>
      <c r="P21" s="24" t="s">
        <v>51</v>
      </c>
      <c r="Q21" s="24" t="s">
        <v>51</v>
      </c>
      <c r="R21" s="24" t="s">
        <v>51</v>
      </c>
      <c r="S21" s="25" t="s">
        <v>51</v>
      </c>
      <c r="T21" s="25" t="s">
        <v>51</v>
      </c>
      <c r="U21" s="25" t="s">
        <v>51</v>
      </c>
      <c r="V21" s="22" t="s">
        <v>68</v>
      </c>
      <c r="W21" s="26" t="s">
        <v>51</v>
      </c>
      <c r="X21" s="24" t="s">
        <v>51</v>
      </c>
      <c r="Y21" s="25" t="s">
        <v>51</v>
      </c>
      <c r="Z21" s="25" t="s">
        <v>51</v>
      </c>
      <c r="AA21" s="25" t="s">
        <v>51</v>
      </c>
      <c r="AB21" s="22" t="s">
        <v>68</v>
      </c>
      <c r="AC21" s="22" t="s">
        <v>68</v>
      </c>
      <c r="AD21" s="22" t="s">
        <v>68</v>
      </c>
      <c r="AE21" s="23" t="s">
        <v>51</v>
      </c>
      <c r="AF21" s="23" t="s">
        <v>51</v>
      </c>
      <c r="AG21" s="23" t="s">
        <v>51</v>
      </c>
      <c r="AH21" s="24" t="s">
        <v>51</v>
      </c>
      <c r="AI21" s="27" t="s">
        <v>53</v>
      </c>
      <c r="AJ21" s="27" t="s">
        <v>54</v>
      </c>
      <c r="AK21" s="28" t="s">
        <v>229</v>
      </c>
      <c r="AL21" s="29" t="s">
        <v>230</v>
      </c>
      <c r="AM21" s="15">
        <v>64.0</v>
      </c>
      <c r="AN21" s="30" t="s">
        <v>57</v>
      </c>
      <c r="AO21" s="16" t="s">
        <v>72</v>
      </c>
      <c r="AP21" s="16" t="s">
        <v>115</v>
      </c>
      <c r="AQ21" s="30" t="s">
        <v>231</v>
      </c>
      <c r="AR21" s="30" t="s">
        <v>232</v>
      </c>
      <c r="AS21" s="16" t="s">
        <v>233</v>
      </c>
      <c r="AT21" s="15">
        <v>604.0</v>
      </c>
      <c r="AU21" s="33" t="s">
        <v>234</v>
      </c>
    </row>
    <row r="22" ht="56.25" customHeight="1">
      <c r="A22" s="15">
        <v>51.0</v>
      </c>
      <c r="B22" s="16" t="s">
        <v>235</v>
      </c>
      <c r="C22" s="27" t="str">
        <f>IMAGE("https://nh-cdn.catalogue.ac/MenuIcon/Ins42.png")</f>
        <v/>
      </c>
      <c r="D22" s="27" t="str">
        <f>IMAGE("https://nh-cdn.catalogue.ac/BookInsectIcon/InsectOhsenchikogane.png")</f>
        <v/>
      </c>
      <c r="E22" s="18" t="str">
        <f>IMAGE("https://nh-cdn.catalogue.ac/FtrIcon/FtrInsectSenchikogane.png")</f>
        <v/>
      </c>
      <c r="F22" s="15">
        <v>300.0</v>
      </c>
      <c r="G22" s="16" t="s">
        <v>110</v>
      </c>
      <c r="H22" s="16" t="s">
        <v>66</v>
      </c>
      <c r="I22" s="20">
        <v>0.0</v>
      </c>
      <c r="J22" s="21" t="s">
        <v>140</v>
      </c>
      <c r="K22" s="22" t="s">
        <v>51</v>
      </c>
      <c r="L22" s="22" t="s">
        <v>51</v>
      </c>
      <c r="M22" s="23" t="s">
        <v>51</v>
      </c>
      <c r="N22" s="23" t="s">
        <v>51</v>
      </c>
      <c r="O22" s="23" t="s">
        <v>51</v>
      </c>
      <c r="P22" s="24" t="s">
        <v>51</v>
      </c>
      <c r="Q22" s="24" t="s">
        <v>68</v>
      </c>
      <c r="R22" s="24" t="s">
        <v>68</v>
      </c>
      <c r="S22" s="25" t="s">
        <v>68</v>
      </c>
      <c r="T22" s="25" t="s">
        <v>51</v>
      </c>
      <c r="U22" s="25" t="s">
        <v>51</v>
      </c>
      <c r="V22" s="22" t="s">
        <v>51</v>
      </c>
      <c r="W22" s="26" t="s">
        <v>68</v>
      </c>
      <c r="X22" s="24" t="s">
        <v>68</v>
      </c>
      <c r="Y22" s="25" t="s">
        <v>68</v>
      </c>
      <c r="Z22" s="25" t="s">
        <v>51</v>
      </c>
      <c r="AA22" s="25" t="s">
        <v>51</v>
      </c>
      <c r="AB22" s="22" t="s">
        <v>51</v>
      </c>
      <c r="AC22" s="22" t="s">
        <v>51</v>
      </c>
      <c r="AD22" s="22" t="s">
        <v>51</v>
      </c>
      <c r="AE22" s="23" t="s">
        <v>51</v>
      </c>
      <c r="AF22" s="23" t="s">
        <v>51</v>
      </c>
      <c r="AG22" s="23" t="s">
        <v>51</v>
      </c>
      <c r="AH22" s="24" t="s">
        <v>51</v>
      </c>
      <c r="AI22" s="27" t="s">
        <v>53</v>
      </c>
      <c r="AJ22" s="27" t="s">
        <v>69</v>
      </c>
      <c r="AK22" s="28" t="s">
        <v>236</v>
      </c>
      <c r="AL22" s="29" t="s">
        <v>237</v>
      </c>
      <c r="AM22" s="15">
        <v>64.0</v>
      </c>
      <c r="AN22" s="30" t="s">
        <v>57</v>
      </c>
      <c r="AO22" s="16" t="s">
        <v>238</v>
      </c>
      <c r="AP22" s="16" t="s">
        <v>83</v>
      </c>
      <c r="AQ22" s="30" t="s">
        <v>239</v>
      </c>
      <c r="AR22" s="30" t="s">
        <v>240</v>
      </c>
      <c r="AS22" s="16" t="s">
        <v>241</v>
      </c>
      <c r="AT22" s="15">
        <v>614.0</v>
      </c>
      <c r="AU22" s="33" t="s">
        <v>242</v>
      </c>
    </row>
    <row r="23" ht="56.25" customHeight="1">
      <c r="A23" s="15">
        <v>9.0</v>
      </c>
      <c r="B23" s="16" t="s">
        <v>243</v>
      </c>
      <c r="C23" s="27" t="str">
        <f>IMAGE("https://nh-cdn.catalogue.ac/MenuIcon/Ins5.png")</f>
        <v/>
      </c>
      <c r="D23" s="27" t="str">
        <f>IMAGE("https://nh-cdn.catalogue.ac/BookInsectIcon/InsectMorufuocho.png")</f>
        <v/>
      </c>
      <c r="E23" s="18" t="str">
        <f>IMAGE("https://nh-cdn.catalogue.ac/FtrIcon/FtrInsectMorufuocho.png")</f>
        <v/>
      </c>
      <c r="F23" s="15">
        <v>4000.0</v>
      </c>
      <c r="G23" s="19" t="s">
        <v>48</v>
      </c>
      <c r="H23" s="16" t="s">
        <v>49</v>
      </c>
      <c r="I23" s="20">
        <v>20.0</v>
      </c>
      <c r="J23" s="21" t="s">
        <v>50</v>
      </c>
      <c r="K23" s="22" t="s">
        <v>112</v>
      </c>
      <c r="L23" s="22" t="s">
        <v>112</v>
      </c>
      <c r="M23" s="23" t="s">
        <v>112</v>
      </c>
      <c r="N23" s="23" t="s">
        <v>51</v>
      </c>
      <c r="O23" s="23" t="s">
        <v>51</v>
      </c>
      <c r="P23" s="24" t="s">
        <v>112</v>
      </c>
      <c r="Q23" s="24" t="s">
        <v>112</v>
      </c>
      <c r="R23" s="24" t="s">
        <v>112</v>
      </c>
      <c r="S23" s="25" t="s">
        <v>112</v>
      </c>
      <c r="T23" s="25" t="s">
        <v>51</v>
      </c>
      <c r="U23" s="25" t="s">
        <v>51</v>
      </c>
      <c r="V23" s="22" t="s">
        <v>112</v>
      </c>
      <c r="W23" s="26" t="s">
        <v>112</v>
      </c>
      <c r="X23" s="24" t="s">
        <v>112</v>
      </c>
      <c r="Y23" s="25" t="s">
        <v>112</v>
      </c>
      <c r="Z23" s="25" t="s">
        <v>51</v>
      </c>
      <c r="AA23" s="25" t="s">
        <v>51</v>
      </c>
      <c r="AB23" s="22" t="s">
        <v>112</v>
      </c>
      <c r="AC23" s="22" t="s">
        <v>112</v>
      </c>
      <c r="AD23" s="22" t="s">
        <v>112</v>
      </c>
      <c r="AE23" s="23" t="s">
        <v>112</v>
      </c>
      <c r="AF23" s="23" t="s">
        <v>51</v>
      </c>
      <c r="AG23" s="23" t="s">
        <v>51</v>
      </c>
      <c r="AH23" s="24" t="s">
        <v>112</v>
      </c>
      <c r="AI23" s="27" t="s">
        <v>53</v>
      </c>
      <c r="AJ23" s="27" t="s">
        <v>54</v>
      </c>
      <c r="AK23" s="28" t="s">
        <v>244</v>
      </c>
      <c r="AL23" s="29" t="s">
        <v>245</v>
      </c>
      <c r="AM23" s="15">
        <v>64.0</v>
      </c>
      <c r="AN23" s="30" t="s">
        <v>57</v>
      </c>
      <c r="AO23" s="16" t="s">
        <v>95</v>
      </c>
      <c r="AP23" s="16" t="s">
        <v>83</v>
      </c>
      <c r="AQ23" s="30" t="s">
        <v>246</v>
      </c>
      <c r="AR23" s="30" t="s">
        <v>247</v>
      </c>
      <c r="AS23" s="16" t="s">
        <v>248</v>
      </c>
      <c r="AT23" s="15">
        <v>627.0</v>
      </c>
      <c r="AU23" s="33" t="s">
        <v>249</v>
      </c>
    </row>
    <row r="24" ht="56.25" customHeight="1">
      <c r="A24" s="15">
        <v>30.0</v>
      </c>
      <c r="B24" s="16" t="s">
        <v>250</v>
      </c>
      <c r="C24" s="27" t="str">
        <f>IMAGE("https://nh-cdn.catalogue.ac/MenuIcon/Ins20.png")</f>
        <v/>
      </c>
      <c r="D24" s="27" t="str">
        <f>IMAGE("https://nh-cdn.catalogue.ac/BookInsectIcon/InsectHigurashi.png")</f>
        <v/>
      </c>
      <c r="E24" s="18" t="str">
        <f>IMAGE("https://nh-cdn.catalogue.ac/FtrIcon/FtrInsectHigurashi.png")</f>
        <v/>
      </c>
      <c r="F24" s="15">
        <v>550.0</v>
      </c>
      <c r="G24" s="16" t="s">
        <v>130</v>
      </c>
      <c r="H24" s="16" t="s">
        <v>66</v>
      </c>
      <c r="I24" s="20">
        <v>0.0</v>
      </c>
      <c r="J24" s="21" t="s">
        <v>91</v>
      </c>
      <c r="K24" s="22" t="s">
        <v>51</v>
      </c>
      <c r="L24" s="22" t="s">
        <v>51</v>
      </c>
      <c r="M24" s="23" t="s">
        <v>51</v>
      </c>
      <c r="N24" s="23" t="s">
        <v>51</v>
      </c>
      <c r="O24" s="23" t="s">
        <v>51</v>
      </c>
      <c r="P24" s="24" t="s">
        <v>51</v>
      </c>
      <c r="Q24" s="24" t="s">
        <v>251</v>
      </c>
      <c r="R24" s="24" t="s">
        <v>251</v>
      </c>
      <c r="S24" s="25" t="s">
        <v>51</v>
      </c>
      <c r="T24" s="25" t="s">
        <v>51</v>
      </c>
      <c r="U24" s="25" t="s">
        <v>51</v>
      </c>
      <c r="V24" s="22" t="s">
        <v>51</v>
      </c>
      <c r="W24" s="26" t="s">
        <v>251</v>
      </c>
      <c r="X24" s="24" t="s">
        <v>251</v>
      </c>
      <c r="Y24" s="25" t="s">
        <v>51</v>
      </c>
      <c r="Z24" s="25" t="s">
        <v>51</v>
      </c>
      <c r="AA24" s="25" t="s">
        <v>51</v>
      </c>
      <c r="AB24" s="22" t="s">
        <v>51</v>
      </c>
      <c r="AC24" s="22" t="s">
        <v>51</v>
      </c>
      <c r="AD24" s="22" t="s">
        <v>51</v>
      </c>
      <c r="AE24" s="23" t="s">
        <v>51</v>
      </c>
      <c r="AF24" s="23" t="s">
        <v>51</v>
      </c>
      <c r="AG24" s="23" t="s">
        <v>51</v>
      </c>
      <c r="AH24" s="24" t="s">
        <v>51</v>
      </c>
      <c r="AI24" s="27" t="s">
        <v>53</v>
      </c>
      <c r="AJ24" s="27" t="s">
        <v>54</v>
      </c>
      <c r="AK24" s="28" t="s">
        <v>252</v>
      </c>
      <c r="AL24" s="29" t="s">
        <v>253</v>
      </c>
      <c r="AM24" s="15">
        <v>64.0</v>
      </c>
      <c r="AN24" s="30" t="s">
        <v>57</v>
      </c>
      <c r="AO24" s="16" t="s">
        <v>72</v>
      </c>
      <c r="AP24" s="16" t="s">
        <v>83</v>
      </c>
      <c r="AQ24" s="30" t="s">
        <v>254</v>
      </c>
      <c r="AR24" s="30" t="s">
        <v>255</v>
      </c>
      <c r="AS24" s="16" t="s">
        <v>256</v>
      </c>
      <c r="AT24" s="15">
        <v>601.0</v>
      </c>
      <c r="AU24" s="33" t="s">
        <v>257</v>
      </c>
    </row>
    <row r="25" ht="56.25" customHeight="1">
      <c r="A25" s="15">
        <v>36.0</v>
      </c>
      <c r="B25" s="16" t="s">
        <v>258</v>
      </c>
      <c r="C25" s="27" t="str">
        <f>IMAGE("https://nh-cdn.catalogue.ac/MenuIcon/Ins41.png")</f>
        <v/>
      </c>
      <c r="D25" s="27" t="str">
        <f>IMAGE("https://nh-cdn.catalogue.ac/BookInsectIcon/InsectHotaru.png")</f>
        <v/>
      </c>
      <c r="E25" s="18" t="str">
        <f>IMAGE("https://nh-cdn.catalogue.ac/FtrIcon/FtrInsectHotaru.png")</f>
        <v/>
      </c>
      <c r="F25" s="15">
        <v>300.0</v>
      </c>
      <c r="G25" s="32" t="s">
        <v>101</v>
      </c>
      <c r="H25" s="16" t="s">
        <v>49</v>
      </c>
      <c r="I25" s="20">
        <v>0.0</v>
      </c>
      <c r="J25" s="21" t="s">
        <v>259</v>
      </c>
      <c r="K25" s="22" t="s">
        <v>51</v>
      </c>
      <c r="L25" s="22" t="s">
        <v>51</v>
      </c>
      <c r="M25" s="23" t="s">
        <v>51</v>
      </c>
      <c r="N25" s="23" t="s">
        <v>51</v>
      </c>
      <c r="O25" s="23" t="s">
        <v>51</v>
      </c>
      <c r="P25" s="24" t="s">
        <v>80</v>
      </c>
      <c r="Q25" s="24" t="s">
        <v>51</v>
      </c>
      <c r="R25" s="24" t="s">
        <v>51</v>
      </c>
      <c r="S25" s="25" t="s">
        <v>51</v>
      </c>
      <c r="T25" s="25" t="s">
        <v>51</v>
      </c>
      <c r="U25" s="25" t="s">
        <v>51</v>
      </c>
      <c r="V25" s="22" t="s">
        <v>51</v>
      </c>
      <c r="W25" s="26" t="s">
        <v>51</v>
      </c>
      <c r="X25" s="24" t="s">
        <v>51</v>
      </c>
      <c r="Y25" s="25" t="s">
        <v>51</v>
      </c>
      <c r="Z25" s="25" t="s">
        <v>51</v>
      </c>
      <c r="AA25" s="25" t="s">
        <v>51</v>
      </c>
      <c r="AB25" s="22" t="s">
        <v>51</v>
      </c>
      <c r="AC25" s="22" t="s">
        <v>51</v>
      </c>
      <c r="AD25" s="22" t="s">
        <v>51</v>
      </c>
      <c r="AE25" s="23" t="s">
        <v>51</v>
      </c>
      <c r="AF25" s="23" t="s">
        <v>51</v>
      </c>
      <c r="AG25" s="23" t="s">
        <v>51</v>
      </c>
      <c r="AH25" s="24" t="s">
        <v>80</v>
      </c>
      <c r="AI25" s="27" t="s">
        <v>53</v>
      </c>
      <c r="AJ25" s="27" t="s">
        <v>69</v>
      </c>
      <c r="AK25" s="28" t="s">
        <v>260</v>
      </c>
      <c r="AL25" s="29" t="s">
        <v>261</v>
      </c>
      <c r="AM25" s="15">
        <v>64.0</v>
      </c>
      <c r="AN25" s="30" t="s">
        <v>57</v>
      </c>
      <c r="AO25" s="16" t="s">
        <v>72</v>
      </c>
      <c r="AP25" s="16" t="s">
        <v>95</v>
      </c>
      <c r="AQ25" s="30" t="s">
        <v>262</v>
      </c>
      <c r="AR25" s="30" t="s">
        <v>263</v>
      </c>
      <c r="AS25" s="16" t="s">
        <v>264</v>
      </c>
      <c r="AT25" s="15">
        <v>603.0</v>
      </c>
      <c r="AU25" s="33" t="s">
        <v>265</v>
      </c>
    </row>
    <row r="26" ht="56.25" customHeight="1">
      <c r="A26" s="15">
        <v>74.0</v>
      </c>
      <c r="B26" s="16" t="s">
        <v>266</v>
      </c>
      <c r="C26" s="27" t="str">
        <f>IMAGE("https://nh-cdn.catalogue.ac/MenuIcon/Ins56.png")</f>
        <v/>
      </c>
      <c r="D26" s="27" t="str">
        <f>IMAGE("https://nh-cdn.catalogue.ac/BookInsectIcon/InsectNomi.png")</f>
        <v/>
      </c>
      <c r="E26" s="18" t="str">
        <f>IMAGE("https://nh-cdn.catalogue.ac/FtrIcon/FtrInsectNomi.png")</f>
        <v/>
      </c>
      <c r="F26" s="15">
        <v>70.0</v>
      </c>
      <c r="G26" s="16" t="s">
        <v>267</v>
      </c>
      <c r="H26" s="16" t="s">
        <v>66</v>
      </c>
      <c r="I26" s="20">
        <v>0.0</v>
      </c>
      <c r="J26" s="21" t="s">
        <v>268</v>
      </c>
      <c r="K26" s="22" t="s">
        <v>51</v>
      </c>
      <c r="L26" s="22" t="s">
        <v>51</v>
      </c>
      <c r="M26" s="23" t="s">
        <v>51</v>
      </c>
      <c r="N26" s="23" t="s">
        <v>68</v>
      </c>
      <c r="O26" s="23" t="s">
        <v>68</v>
      </c>
      <c r="P26" s="24" t="s">
        <v>68</v>
      </c>
      <c r="Q26" s="24" t="s">
        <v>68</v>
      </c>
      <c r="R26" s="24" t="s">
        <v>68</v>
      </c>
      <c r="S26" s="25" t="s">
        <v>68</v>
      </c>
      <c r="T26" s="25" t="s">
        <v>68</v>
      </c>
      <c r="U26" s="25" t="s">
        <v>68</v>
      </c>
      <c r="V26" s="22" t="s">
        <v>51</v>
      </c>
      <c r="W26" s="26" t="s">
        <v>68</v>
      </c>
      <c r="X26" s="24" t="s">
        <v>68</v>
      </c>
      <c r="Y26" s="25" t="s">
        <v>68</v>
      </c>
      <c r="Z26" s="25" t="s">
        <v>68</v>
      </c>
      <c r="AA26" s="25" t="s">
        <v>68</v>
      </c>
      <c r="AB26" s="22" t="s">
        <v>51</v>
      </c>
      <c r="AC26" s="22" t="s">
        <v>51</v>
      </c>
      <c r="AD26" s="22" t="s">
        <v>51</v>
      </c>
      <c r="AE26" s="23" t="s">
        <v>51</v>
      </c>
      <c r="AF26" s="23" t="s">
        <v>68</v>
      </c>
      <c r="AG26" s="23" t="s">
        <v>68</v>
      </c>
      <c r="AH26" s="24" t="s">
        <v>68</v>
      </c>
      <c r="AI26" s="27" t="s">
        <v>53</v>
      </c>
      <c r="AJ26" s="27" t="s">
        <v>69</v>
      </c>
      <c r="AK26" s="28" t="s">
        <v>269</v>
      </c>
      <c r="AL26" s="29" t="s">
        <v>270</v>
      </c>
      <c r="AM26" s="15">
        <v>64.0</v>
      </c>
      <c r="AN26" s="30" t="s">
        <v>57</v>
      </c>
      <c r="AO26" s="16" t="s">
        <v>94</v>
      </c>
      <c r="AP26" s="16" t="s">
        <v>73</v>
      </c>
      <c r="AQ26" s="30" t="s">
        <v>271</v>
      </c>
      <c r="AR26" s="30" t="s">
        <v>272</v>
      </c>
      <c r="AS26" s="16" t="s">
        <v>273</v>
      </c>
      <c r="AT26" s="15">
        <v>633.0</v>
      </c>
      <c r="AU26" s="33" t="s">
        <v>274</v>
      </c>
    </row>
    <row r="27" ht="56.25" customHeight="1">
      <c r="A27" s="15">
        <v>72.0</v>
      </c>
      <c r="B27" s="16" t="s">
        <v>275</v>
      </c>
      <c r="C27" s="27" t="str">
        <f>IMAGE("https://nh-cdn.catalogue.ac/MenuIcon/Ins59.png")</f>
        <v/>
      </c>
      <c r="D27" s="27" t="str">
        <f>IMAGE("https://nh-cdn.catalogue.ac/BookInsectIcon/InsectHae.png")</f>
        <v/>
      </c>
      <c r="E27" s="18" t="str">
        <f>IMAGE("https://nh-cdn.catalogue.ac/FtrIcon/FtrInsectHae.png")</f>
        <v/>
      </c>
      <c r="F27" s="15">
        <v>60.0</v>
      </c>
      <c r="G27" s="32" t="s">
        <v>276</v>
      </c>
      <c r="H27" s="16" t="s">
        <v>66</v>
      </c>
      <c r="I27" s="20">
        <v>0.0</v>
      </c>
      <c r="J27" s="21" t="s">
        <v>67</v>
      </c>
      <c r="K27" s="22" t="s">
        <v>68</v>
      </c>
      <c r="L27" s="22" t="s">
        <v>68</v>
      </c>
      <c r="M27" s="23" t="s">
        <v>68</v>
      </c>
      <c r="N27" s="23" t="s">
        <v>68</v>
      </c>
      <c r="O27" s="23" t="s">
        <v>68</v>
      </c>
      <c r="P27" s="24" t="s">
        <v>68</v>
      </c>
      <c r="Q27" s="24" t="s">
        <v>68</v>
      </c>
      <c r="R27" s="24" t="s">
        <v>68</v>
      </c>
      <c r="S27" s="25" t="s">
        <v>68</v>
      </c>
      <c r="T27" s="25" t="s">
        <v>68</v>
      </c>
      <c r="U27" s="25" t="s">
        <v>68</v>
      </c>
      <c r="V27" s="22" t="s">
        <v>68</v>
      </c>
      <c r="W27" s="26" t="s">
        <v>68</v>
      </c>
      <c r="X27" s="24" t="s">
        <v>68</v>
      </c>
      <c r="Y27" s="25" t="s">
        <v>68</v>
      </c>
      <c r="Z27" s="25" t="s">
        <v>68</v>
      </c>
      <c r="AA27" s="25" t="s">
        <v>68</v>
      </c>
      <c r="AB27" s="22" t="s">
        <v>68</v>
      </c>
      <c r="AC27" s="22" t="s">
        <v>68</v>
      </c>
      <c r="AD27" s="22" t="s">
        <v>68</v>
      </c>
      <c r="AE27" s="23" t="s">
        <v>68</v>
      </c>
      <c r="AF27" s="23" t="s">
        <v>68</v>
      </c>
      <c r="AG27" s="23" t="s">
        <v>68</v>
      </c>
      <c r="AH27" s="24" t="s">
        <v>68</v>
      </c>
      <c r="AI27" s="27" t="s">
        <v>53</v>
      </c>
      <c r="AJ27" s="27" t="s">
        <v>69</v>
      </c>
      <c r="AK27" s="28" t="s">
        <v>277</v>
      </c>
      <c r="AL27" s="29" t="s">
        <v>278</v>
      </c>
      <c r="AM27" s="15">
        <v>64.0</v>
      </c>
      <c r="AN27" s="30" t="s">
        <v>57</v>
      </c>
      <c r="AO27" s="16" t="s">
        <v>72</v>
      </c>
      <c r="AP27" s="16" t="s">
        <v>73</v>
      </c>
      <c r="AQ27" s="30" t="s">
        <v>279</v>
      </c>
      <c r="AR27" s="30" t="s">
        <v>280</v>
      </c>
      <c r="AS27" s="16" t="s">
        <v>281</v>
      </c>
      <c r="AT27" s="15">
        <v>597.0</v>
      </c>
      <c r="AU27" s="33" t="s">
        <v>282</v>
      </c>
    </row>
    <row r="28" ht="56.25" customHeight="1">
      <c r="A28" s="15">
        <v>28.0</v>
      </c>
      <c r="B28" s="16" t="s">
        <v>283</v>
      </c>
      <c r="C28" s="27" t="str">
        <f>IMAGE("https://nh-cdn.catalogue.ac/MenuIcon/Ins65.png")</f>
        <v/>
      </c>
      <c r="D28" s="27" t="str">
        <f>IMAGE("https://nh-cdn.catalogue.ac/BookInsectIcon/InsectKumazemi.png")</f>
        <v/>
      </c>
      <c r="E28" s="18" t="str">
        <f>IMAGE("https://nh-cdn.catalogue.ac/FtrIcon/FtrInsectKumazemi.png")</f>
        <v/>
      </c>
      <c r="F28" s="15">
        <v>500.0</v>
      </c>
      <c r="G28" s="19" t="s">
        <v>130</v>
      </c>
      <c r="H28" s="19" t="s">
        <v>66</v>
      </c>
      <c r="I28" s="20">
        <v>20.0</v>
      </c>
      <c r="J28" s="21" t="s">
        <v>91</v>
      </c>
      <c r="K28" s="22" t="s">
        <v>51</v>
      </c>
      <c r="L28" s="22" t="s">
        <v>51</v>
      </c>
      <c r="M28" s="23" t="s">
        <v>51</v>
      </c>
      <c r="N28" s="23" t="s">
        <v>51</v>
      </c>
      <c r="O28" s="23" t="s">
        <v>51</v>
      </c>
      <c r="P28" s="24" t="s">
        <v>51</v>
      </c>
      <c r="Q28" s="24" t="s">
        <v>52</v>
      </c>
      <c r="R28" s="24" t="s">
        <v>52</v>
      </c>
      <c r="S28" s="25" t="s">
        <v>51</v>
      </c>
      <c r="T28" s="25" t="s">
        <v>51</v>
      </c>
      <c r="U28" s="25" t="s">
        <v>51</v>
      </c>
      <c r="V28" s="22" t="s">
        <v>51</v>
      </c>
      <c r="W28" s="26" t="s">
        <v>52</v>
      </c>
      <c r="X28" s="24" t="s">
        <v>52</v>
      </c>
      <c r="Y28" s="25" t="s">
        <v>51</v>
      </c>
      <c r="Z28" s="25" t="s">
        <v>51</v>
      </c>
      <c r="AA28" s="25" t="s">
        <v>51</v>
      </c>
      <c r="AB28" s="22" t="s">
        <v>51</v>
      </c>
      <c r="AC28" s="22" t="s">
        <v>51</v>
      </c>
      <c r="AD28" s="22" t="s">
        <v>51</v>
      </c>
      <c r="AE28" s="23" t="s">
        <v>51</v>
      </c>
      <c r="AF28" s="23" t="s">
        <v>51</v>
      </c>
      <c r="AG28" s="23" t="s">
        <v>51</v>
      </c>
      <c r="AH28" s="24" t="s">
        <v>51</v>
      </c>
      <c r="AI28" s="27" t="s">
        <v>53</v>
      </c>
      <c r="AJ28" s="27" t="s">
        <v>54</v>
      </c>
      <c r="AK28" s="28" t="s">
        <v>284</v>
      </c>
      <c r="AL28" s="29" t="s">
        <v>285</v>
      </c>
      <c r="AM28" s="15">
        <v>64.0</v>
      </c>
      <c r="AN28" s="30" t="s">
        <v>57</v>
      </c>
      <c r="AO28" s="16" t="s">
        <v>72</v>
      </c>
      <c r="AP28" s="16" t="s">
        <v>84</v>
      </c>
      <c r="AQ28" s="30" t="s">
        <v>286</v>
      </c>
      <c r="AR28" s="30" t="s">
        <v>287</v>
      </c>
      <c r="AS28" s="16" t="s">
        <v>288</v>
      </c>
      <c r="AT28" s="15">
        <v>618.0</v>
      </c>
      <c r="AU28" s="33" t="s">
        <v>289</v>
      </c>
    </row>
    <row r="29" ht="56.25" customHeight="1">
      <c r="A29" s="15">
        <v>57.0</v>
      </c>
      <c r="B29" s="16" t="s">
        <v>290</v>
      </c>
      <c r="C29" s="27" t="str">
        <f>IMAGE("https://nh-cdn.catalogue.ac/MenuIcon/Ins47.png")</f>
        <v/>
      </c>
      <c r="D29" s="27" t="str">
        <f>IMAGE("https://nh-cdn.catalogue.ac/BookInsectIcon/InsectOhkuwagata.png")</f>
        <v/>
      </c>
      <c r="E29" s="18" t="str">
        <f>IMAGE("https://nh-cdn.catalogue.ac/FtrIcon/FtrInsectOhkuwagata.png")</f>
        <v/>
      </c>
      <c r="F29" s="15">
        <v>10000.0</v>
      </c>
      <c r="G29" s="19" t="s">
        <v>79</v>
      </c>
      <c r="H29" s="19" t="s">
        <v>66</v>
      </c>
      <c r="I29" s="20">
        <v>50.0</v>
      </c>
      <c r="J29" s="21" t="s">
        <v>50</v>
      </c>
      <c r="K29" s="22" t="s">
        <v>51</v>
      </c>
      <c r="L29" s="22" t="s">
        <v>51</v>
      </c>
      <c r="M29" s="23" t="s">
        <v>51</v>
      </c>
      <c r="N29" s="23" t="s">
        <v>51</v>
      </c>
      <c r="O29" s="23" t="s">
        <v>51</v>
      </c>
      <c r="P29" s="24" t="s">
        <v>51</v>
      </c>
      <c r="Q29" s="24" t="s">
        <v>291</v>
      </c>
      <c r="R29" s="24" t="s">
        <v>291</v>
      </c>
      <c r="S29" s="25" t="s">
        <v>51</v>
      </c>
      <c r="T29" s="25" t="s">
        <v>51</v>
      </c>
      <c r="U29" s="25" t="s">
        <v>51</v>
      </c>
      <c r="V29" s="22" t="s">
        <v>51</v>
      </c>
      <c r="W29" s="26" t="s">
        <v>291</v>
      </c>
      <c r="X29" s="24" t="s">
        <v>291</v>
      </c>
      <c r="Y29" s="25" t="s">
        <v>51</v>
      </c>
      <c r="Z29" s="25" t="s">
        <v>51</v>
      </c>
      <c r="AA29" s="25" t="s">
        <v>51</v>
      </c>
      <c r="AB29" s="22" t="s">
        <v>51</v>
      </c>
      <c r="AC29" s="22" t="s">
        <v>51</v>
      </c>
      <c r="AD29" s="22" t="s">
        <v>51</v>
      </c>
      <c r="AE29" s="23" t="s">
        <v>51</v>
      </c>
      <c r="AF29" s="23" t="s">
        <v>51</v>
      </c>
      <c r="AG29" s="23" t="s">
        <v>51</v>
      </c>
      <c r="AH29" s="24" t="s">
        <v>51</v>
      </c>
      <c r="AI29" s="27" t="s">
        <v>53</v>
      </c>
      <c r="AJ29" s="27" t="s">
        <v>54</v>
      </c>
      <c r="AK29" s="28" t="s">
        <v>292</v>
      </c>
      <c r="AL29" s="29" t="s">
        <v>293</v>
      </c>
      <c r="AM29" s="15">
        <v>64.0</v>
      </c>
      <c r="AN29" s="30" t="s">
        <v>57</v>
      </c>
      <c r="AO29" s="16" t="s">
        <v>72</v>
      </c>
      <c r="AP29" s="16" t="s">
        <v>72</v>
      </c>
      <c r="AQ29" s="30" t="s">
        <v>294</v>
      </c>
      <c r="AR29" s="30" t="s">
        <v>295</v>
      </c>
      <c r="AS29" s="16" t="s">
        <v>296</v>
      </c>
      <c r="AT29" s="15">
        <v>637.0</v>
      </c>
      <c r="AU29" s="33" t="s">
        <v>297</v>
      </c>
    </row>
    <row r="30" ht="56.25" customHeight="1">
      <c r="A30" s="15">
        <v>40.0</v>
      </c>
      <c r="B30" s="16" t="s">
        <v>298</v>
      </c>
      <c r="C30" s="27" t="str">
        <f>IMAGE("https://nh-cdn.catalogue.ac/MenuIcon/Ins76.png")</f>
        <v/>
      </c>
      <c r="D30" s="27" t="str">
        <f>IMAGE("https://nh-cdn.catalogue.ac/BookInsectIcon/InsectTagame.png")</f>
        <v/>
      </c>
      <c r="E30" s="18" t="str">
        <f>IMAGE("https://nh-cdn.catalogue.ac/FtrIcon/FtrInsectTagame.png")</f>
        <v/>
      </c>
      <c r="F30" s="15">
        <v>2000.0</v>
      </c>
      <c r="G30" s="19" t="s">
        <v>212</v>
      </c>
      <c r="H30" s="19" t="s">
        <v>66</v>
      </c>
      <c r="I30" s="20">
        <v>50.0</v>
      </c>
      <c r="J30" s="21" t="s">
        <v>50</v>
      </c>
      <c r="K30" s="22" t="s">
        <v>51</v>
      </c>
      <c r="L30" s="22" t="s">
        <v>51</v>
      </c>
      <c r="M30" s="23" t="s">
        <v>51</v>
      </c>
      <c r="N30" s="23" t="s">
        <v>299</v>
      </c>
      <c r="O30" s="23" t="s">
        <v>299</v>
      </c>
      <c r="P30" s="24" t="s">
        <v>299</v>
      </c>
      <c r="Q30" s="24" t="s">
        <v>299</v>
      </c>
      <c r="R30" s="24" t="s">
        <v>299</v>
      </c>
      <c r="S30" s="25" t="s">
        <v>299</v>
      </c>
      <c r="T30" s="25" t="s">
        <v>51</v>
      </c>
      <c r="U30" s="25" t="s">
        <v>51</v>
      </c>
      <c r="V30" s="22" t="s">
        <v>51</v>
      </c>
      <c r="W30" s="26" t="s">
        <v>299</v>
      </c>
      <c r="X30" s="24" t="s">
        <v>299</v>
      </c>
      <c r="Y30" s="25" t="s">
        <v>299</v>
      </c>
      <c r="Z30" s="25" t="s">
        <v>51</v>
      </c>
      <c r="AA30" s="25" t="s">
        <v>51</v>
      </c>
      <c r="AB30" s="22" t="s">
        <v>51</v>
      </c>
      <c r="AC30" s="22" t="s">
        <v>51</v>
      </c>
      <c r="AD30" s="22" t="s">
        <v>51</v>
      </c>
      <c r="AE30" s="23" t="s">
        <v>51</v>
      </c>
      <c r="AF30" s="23" t="s">
        <v>299</v>
      </c>
      <c r="AG30" s="23" t="s">
        <v>299</v>
      </c>
      <c r="AH30" s="24" t="s">
        <v>299</v>
      </c>
      <c r="AI30" s="27" t="s">
        <v>53</v>
      </c>
      <c r="AJ30" s="27" t="s">
        <v>69</v>
      </c>
      <c r="AK30" s="28" t="s">
        <v>300</v>
      </c>
      <c r="AL30" s="29" t="s">
        <v>301</v>
      </c>
      <c r="AM30" s="15">
        <v>64.0</v>
      </c>
      <c r="AN30" s="30" t="s">
        <v>57</v>
      </c>
      <c r="AO30" s="16" t="s">
        <v>94</v>
      </c>
      <c r="AP30" s="16" t="s">
        <v>95</v>
      </c>
      <c r="AQ30" s="30" t="s">
        <v>302</v>
      </c>
      <c r="AR30" s="30" t="s">
        <v>303</v>
      </c>
      <c r="AS30" s="16" t="s">
        <v>304</v>
      </c>
      <c r="AT30" s="15">
        <v>5157.0</v>
      </c>
      <c r="AU30" s="33" t="s">
        <v>305</v>
      </c>
    </row>
    <row r="31" ht="56.25" customHeight="1">
      <c r="A31" s="15">
        <v>61.0</v>
      </c>
      <c r="B31" s="16" t="s">
        <v>306</v>
      </c>
      <c r="C31" s="27" t="str">
        <f>IMAGE("https://nh-cdn.catalogue.ac/MenuIcon/Ins77.png")</f>
        <v/>
      </c>
      <c r="D31" s="27" t="str">
        <f>IMAGE("https://nh-cdn.catalogue.ac/BookInsectIcon/InsectGirafanokogirikuwagata.png")</f>
        <v/>
      </c>
      <c r="E31" s="18" t="str">
        <f>IMAGE("https://nh-cdn.catalogue.ac/FtrIcon/FtrInsectGirafanokogirikuwagata.png")</f>
        <v/>
      </c>
      <c r="F31" s="15">
        <v>12000.0</v>
      </c>
      <c r="G31" s="19" t="s">
        <v>121</v>
      </c>
      <c r="H31" s="19" t="s">
        <v>66</v>
      </c>
      <c r="I31" s="20">
        <v>100.0</v>
      </c>
      <c r="J31" s="21" t="s">
        <v>149</v>
      </c>
      <c r="K31" s="22" t="s">
        <v>51</v>
      </c>
      <c r="L31" s="22" t="s">
        <v>51</v>
      </c>
      <c r="M31" s="23" t="s">
        <v>51</v>
      </c>
      <c r="N31" s="23" t="s">
        <v>51</v>
      </c>
      <c r="O31" s="23" t="s">
        <v>51</v>
      </c>
      <c r="P31" s="24" t="s">
        <v>51</v>
      </c>
      <c r="Q31" s="24" t="s">
        <v>112</v>
      </c>
      <c r="R31" s="24" t="s">
        <v>112</v>
      </c>
      <c r="S31" s="25" t="s">
        <v>51</v>
      </c>
      <c r="T31" s="25" t="s">
        <v>51</v>
      </c>
      <c r="U31" s="25" t="s">
        <v>51</v>
      </c>
      <c r="V31" s="22" t="s">
        <v>51</v>
      </c>
      <c r="W31" s="26" t="s">
        <v>112</v>
      </c>
      <c r="X31" s="24" t="s">
        <v>112</v>
      </c>
      <c r="Y31" s="25" t="s">
        <v>51</v>
      </c>
      <c r="Z31" s="25" t="s">
        <v>51</v>
      </c>
      <c r="AA31" s="25" t="s">
        <v>51</v>
      </c>
      <c r="AB31" s="22" t="s">
        <v>51</v>
      </c>
      <c r="AC31" s="22" t="s">
        <v>51</v>
      </c>
      <c r="AD31" s="22" t="s">
        <v>51</v>
      </c>
      <c r="AE31" s="23" t="s">
        <v>51</v>
      </c>
      <c r="AF31" s="23" t="s">
        <v>51</v>
      </c>
      <c r="AG31" s="23" t="s">
        <v>51</v>
      </c>
      <c r="AH31" s="24" t="s">
        <v>51</v>
      </c>
      <c r="AI31" s="27" t="s">
        <v>53</v>
      </c>
      <c r="AJ31" s="27" t="s">
        <v>54</v>
      </c>
      <c r="AK31" s="28" t="s">
        <v>307</v>
      </c>
      <c r="AL31" s="29" t="s">
        <v>308</v>
      </c>
      <c r="AM31" s="15">
        <v>64.0</v>
      </c>
      <c r="AN31" s="30" t="s">
        <v>57</v>
      </c>
      <c r="AO31" s="16" t="s">
        <v>72</v>
      </c>
      <c r="AP31" s="16" t="s">
        <v>72</v>
      </c>
      <c r="AQ31" s="30" t="s">
        <v>309</v>
      </c>
      <c r="AR31" s="30" t="s">
        <v>310</v>
      </c>
      <c r="AS31" s="16" t="s">
        <v>311</v>
      </c>
      <c r="AT31" s="15">
        <v>3482.0</v>
      </c>
      <c r="AU31" s="33" t="s">
        <v>312</v>
      </c>
    </row>
    <row r="32" ht="56.25" customHeight="1">
      <c r="A32" s="15">
        <v>60.0</v>
      </c>
      <c r="B32" s="16" t="s">
        <v>313</v>
      </c>
      <c r="C32" s="27" t="str">
        <f>IMAGE("https://nh-cdn.catalogue.ac/MenuIcon/Ins50.png")</f>
        <v/>
      </c>
      <c r="D32" s="27" t="str">
        <f>IMAGE("https://nh-cdn.catalogue.ac/BookInsectIcon/InsectOugononikuwagata.png")</f>
        <v/>
      </c>
      <c r="E32" s="18" t="str">
        <f>IMAGE("https://nh-cdn.catalogue.ac/FtrIcon/FtrInsectOugononikuwagata.png")</f>
        <v/>
      </c>
      <c r="F32" s="15">
        <v>12000.0</v>
      </c>
      <c r="G32" s="19" t="s">
        <v>121</v>
      </c>
      <c r="H32" s="19" t="s">
        <v>66</v>
      </c>
      <c r="I32" s="20">
        <v>100.0</v>
      </c>
      <c r="J32" s="21" t="s">
        <v>149</v>
      </c>
      <c r="K32" s="22" t="s">
        <v>51</v>
      </c>
      <c r="L32" s="22" t="s">
        <v>51</v>
      </c>
      <c r="M32" s="23" t="s">
        <v>51</v>
      </c>
      <c r="N32" s="23" t="s">
        <v>51</v>
      </c>
      <c r="O32" s="23" t="s">
        <v>51</v>
      </c>
      <c r="P32" s="24" t="s">
        <v>51</v>
      </c>
      <c r="Q32" s="24" t="s">
        <v>112</v>
      </c>
      <c r="R32" s="24" t="s">
        <v>112</v>
      </c>
      <c r="S32" s="25" t="s">
        <v>51</v>
      </c>
      <c r="T32" s="25" t="s">
        <v>51</v>
      </c>
      <c r="U32" s="25" t="s">
        <v>51</v>
      </c>
      <c r="V32" s="22" t="s">
        <v>51</v>
      </c>
      <c r="W32" s="26" t="s">
        <v>112</v>
      </c>
      <c r="X32" s="24" t="s">
        <v>112</v>
      </c>
      <c r="Y32" s="25" t="s">
        <v>51</v>
      </c>
      <c r="Z32" s="25" t="s">
        <v>51</v>
      </c>
      <c r="AA32" s="25" t="s">
        <v>51</v>
      </c>
      <c r="AB32" s="22" t="s">
        <v>51</v>
      </c>
      <c r="AC32" s="22" t="s">
        <v>51</v>
      </c>
      <c r="AD32" s="22" t="s">
        <v>51</v>
      </c>
      <c r="AE32" s="23" t="s">
        <v>51</v>
      </c>
      <c r="AF32" s="23" t="s">
        <v>51</v>
      </c>
      <c r="AG32" s="23" t="s">
        <v>51</v>
      </c>
      <c r="AH32" s="24" t="s">
        <v>51</v>
      </c>
      <c r="AI32" s="27" t="s">
        <v>53</v>
      </c>
      <c r="AJ32" s="27" t="s">
        <v>54</v>
      </c>
      <c r="AK32" s="28" t="s">
        <v>314</v>
      </c>
      <c r="AL32" s="29" t="s">
        <v>315</v>
      </c>
      <c r="AM32" s="15">
        <v>64.0</v>
      </c>
      <c r="AN32" s="30" t="s">
        <v>57</v>
      </c>
      <c r="AO32" s="16" t="s">
        <v>72</v>
      </c>
      <c r="AP32" s="16" t="s">
        <v>84</v>
      </c>
      <c r="AQ32" s="30" t="s">
        <v>316</v>
      </c>
      <c r="AR32" s="30" t="s">
        <v>317</v>
      </c>
      <c r="AS32" s="16" t="s">
        <v>318</v>
      </c>
      <c r="AT32" s="15">
        <v>638.0</v>
      </c>
      <c r="AU32" s="33" t="s">
        <v>319</v>
      </c>
    </row>
    <row r="33" ht="56.25" customHeight="1">
      <c r="A33" s="15">
        <v>54.0</v>
      </c>
      <c r="B33" s="16" t="s">
        <v>320</v>
      </c>
      <c r="C33" s="27" t="str">
        <f>IMAGE("https://nh-cdn.catalogue.ac/MenuIcon/Ins55.png")</f>
        <v/>
      </c>
      <c r="D33" s="27" t="str">
        <f>IMAGE("https://nh-cdn.catalogue.ac/BookInsectIcon/InsectGoraiasuohtsunohanamuguri.png")</f>
        <v/>
      </c>
      <c r="E33" s="18" t="str">
        <f>IMAGE("https://nh-cdn.catalogue.ac/FtrIcon/FtrInsectGoraiasuohtsunohanamuguri.png")</f>
        <v/>
      </c>
      <c r="F33" s="15">
        <v>8000.0</v>
      </c>
      <c r="G33" s="19" t="s">
        <v>121</v>
      </c>
      <c r="H33" s="19" t="s">
        <v>66</v>
      </c>
      <c r="I33" s="20">
        <v>100.0</v>
      </c>
      <c r="J33" s="21" t="s">
        <v>122</v>
      </c>
      <c r="K33" s="22" t="s">
        <v>51</v>
      </c>
      <c r="L33" s="22" t="s">
        <v>51</v>
      </c>
      <c r="M33" s="23" t="s">
        <v>51</v>
      </c>
      <c r="N33" s="23" t="s">
        <v>51</v>
      </c>
      <c r="O33" s="23" t="s">
        <v>51</v>
      </c>
      <c r="P33" s="24" t="s">
        <v>112</v>
      </c>
      <c r="Q33" s="24" t="s">
        <v>112</v>
      </c>
      <c r="R33" s="24" t="s">
        <v>112</v>
      </c>
      <c r="S33" s="25" t="s">
        <v>112</v>
      </c>
      <c r="T33" s="25" t="s">
        <v>51</v>
      </c>
      <c r="U33" s="25" t="s">
        <v>51</v>
      </c>
      <c r="V33" s="22" t="s">
        <v>51</v>
      </c>
      <c r="W33" s="26" t="s">
        <v>112</v>
      </c>
      <c r="X33" s="24" t="s">
        <v>112</v>
      </c>
      <c r="Y33" s="25" t="s">
        <v>112</v>
      </c>
      <c r="Z33" s="25" t="s">
        <v>51</v>
      </c>
      <c r="AA33" s="25" t="s">
        <v>51</v>
      </c>
      <c r="AB33" s="22" t="s">
        <v>51</v>
      </c>
      <c r="AC33" s="22" t="s">
        <v>51</v>
      </c>
      <c r="AD33" s="22" t="s">
        <v>51</v>
      </c>
      <c r="AE33" s="23" t="s">
        <v>51</v>
      </c>
      <c r="AF33" s="23" t="s">
        <v>51</v>
      </c>
      <c r="AG33" s="23" t="s">
        <v>51</v>
      </c>
      <c r="AH33" s="24" t="s">
        <v>112</v>
      </c>
      <c r="AI33" s="27" t="s">
        <v>53</v>
      </c>
      <c r="AJ33" s="27" t="s">
        <v>54</v>
      </c>
      <c r="AK33" s="28" t="s">
        <v>321</v>
      </c>
      <c r="AL33" s="29" t="s">
        <v>322</v>
      </c>
      <c r="AM33" s="15">
        <v>64.0</v>
      </c>
      <c r="AN33" s="30" t="s">
        <v>57</v>
      </c>
      <c r="AO33" s="16" t="s">
        <v>323</v>
      </c>
      <c r="AP33" s="16" t="s">
        <v>72</v>
      </c>
      <c r="AQ33" s="30" t="s">
        <v>324</v>
      </c>
      <c r="AR33" s="30" t="s">
        <v>325</v>
      </c>
      <c r="AS33" s="16" t="s">
        <v>326</v>
      </c>
      <c r="AT33" s="15">
        <v>596.0</v>
      </c>
      <c r="AU33" s="33" t="s">
        <v>327</v>
      </c>
    </row>
    <row r="34" ht="56.25" customHeight="1">
      <c r="A34" s="15">
        <v>19.0</v>
      </c>
      <c r="B34" s="16" t="s">
        <v>328</v>
      </c>
      <c r="C34" s="27" t="str">
        <f>IMAGE("https://nh-cdn.catalogue.ac/MenuIcon/Ins32.png")</f>
        <v/>
      </c>
      <c r="D34" s="27" t="str">
        <f>IMAGE("https://nh-cdn.catalogue.ac/BookInsectIcon/InsectKirigirisu.png")</f>
        <v/>
      </c>
      <c r="E34" s="18" t="str">
        <f>IMAGE("https://nh-cdn.catalogue.ac/FtrIcon/FtrInsectKirigirisu.png")</f>
        <v/>
      </c>
      <c r="F34" s="15">
        <v>160.0</v>
      </c>
      <c r="G34" s="19" t="s">
        <v>110</v>
      </c>
      <c r="H34" s="16" t="s">
        <v>49</v>
      </c>
      <c r="I34" s="20">
        <v>0.0</v>
      </c>
      <c r="J34" s="21" t="s">
        <v>111</v>
      </c>
      <c r="K34" s="22" t="s">
        <v>51</v>
      </c>
      <c r="L34" s="22" t="s">
        <v>51</v>
      </c>
      <c r="M34" s="23" t="s">
        <v>51</v>
      </c>
      <c r="N34" s="23" t="s">
        <v>51</v>
      </c>
      <c r="O34" s="23" t="s">
        <v>51</v>
      </c>
      <c r="P34" s="24" t="s">
        <v>51</v>
      </c>
      <c r="Q34" s="24" t="s">
        <v>52</v>
      </c>
      <c r="R34" s="24" t="s">
        <v>52</v>
      </c>
      <c r="S34" s="25" t="s">
        <v>52</v>
      </c>
      <c r="T34" s="25" t="s">
        <v>51</v>
      </c>
      <c r="U34" s="25" t="s">
        <v>51</v>
      </c>
      <c r="V34" s="22" t="s">
        <v>51</v>
      </c>
      <c r="W34" s="26" t="s">
        <v>52</v>
      </c>
      <c r="X34" s="24" t="s">
        <v>52</v>
      </c>
      <c r="Y34" s="25" t="s">
        <v>52</v>
      </c>
      <c r="Z34" s="25" t="s">
        <v>51</v>
      </c>
      <c r="AA34" s="25" t="s">
        <v>51</v>
      </c>
      <c r="AB34" s="22" t="s">
        <v>51</v>
      </c>
      <c r="AC34" s="22" t="s">
        <v>51</v>
      </c>
      <c r="AD34" s="22" t="s">
        <v>51</v>
      </c>
      <c r="AE34" s="23" t="s">
        <v>51</v>
      </c>
      <c r="AF34" s="23" t="s">
        <v>51</v>
      </c>
      <c r="AG34" s="23" t="s">
        <v>51</v>
      </c>
      <c r="AH34" s="24" t="s">
        <v>51</v>
      </c>
      <c r="AI34" s="27" t="s">
        <v>53</v>
      </c>
      <c r="AJ34" s="27" t="s">
        <v>69</v>
      </c>
      <c r="AK34" s="28" t="s">
        <v>329</v>
      </c>
      <c r="AL34" s="29" t="s">
        <v>330</v>
      </c>
      <c r="AM34" s="15">
        <v>64.0</v>
      </c>
      <c r="AN34" s="30" t="s">
        <v>57</v>
      </c>
      <c r="AO34" s="16" t="s">
        <v>59</v>
      </c>
      <c r="AP34" s="16" t="s">
        <v>115</v>
      </c>
      <c r="AQ34" s="30" t="s">
        <v>331</v>
      </c>
      <c r="AR34" s="30" t="s">
        <v>332</v>
      </c>
      <c r="AS34" s="16" t="s">
        <v>333</v>
      </c>
      <c r="AT34" s="15">
        <v>613.0</v>
      </c>
      <c r="AU34" s="33" t="s">
        <v>334</v>
      </c>
    </row>
    <row r="35" ht="56.25" customHeight="1">
      <c r="A35" s="15">
        <v>7.0</v>
      </c>
      <c r="B35" s="16" t="s">
        <v>335</v>
      </c>
      <c r="C35" s="27" t="str">
        <f>IMAGE("https://nh-cdn.catalogue.ac/MenuIcon/Ins74.png")</f>
        <v/>
      </c>
      <c r="D35" s="27" t="str">
        <f>IMAGE("https://nh-cdn.catalogue.ac/BookInsectIcon/InsectOhmurasaki.png")</f>
        <v/>
      </c>
      <c r="E35" s="18" t="str">
        <f>IMAGE("https://nh-cdn.catalogue.ac/FtrIcon/FtrInsectOhmurasaki.png")</f>
        <v/>
      </c>
      <c r="F35" s="15">
        <v>3000.0</v>
      </c>
      <c r="G35" s="19" t="s">
        <v>48</v>
      </c>
      <c r="H35" s="16" t="s">
        <v>49</v>
      </c>
      <c r="I35" s="20">
        <v>50.0</v>
      </c>
      <c r="J35" s="21" t="s">
        <v>50</v>
      </c>
      <c r="K35" s="22" t="s">
        <v>51</v>
      </c>
      <c r="L35" s="22" t="s">
        <v>51</v>
      </c>
      <c r="M35" s="23" t="s">
        <v>51</v>
      </c>
      <c r="N35" s="23" t="s">
        <v>51</v>
      </c>
      <c r="O35" s="23" t="s">
        <v>168</v>
      </c>
      <c r="P35" s="24" t="s">
        <v>168</v>
      </c>
      <c r="Q35" s="24" t="s">
        <v>168</v>
      </c>
      <c r="R35" s="24" t="s">
        <v>168</v>
      </c>
      <c r="S35" s="25" t="s">
        <v>51</v>
      </c>
      <c r="T35" s="25" t="s">
        <v>51</v>
      </c>
      <c r="U35" s="25" t="s">
        <v>51</v>
      </c>
      <c r="V35" s="22" t="s">
        <v>51</v>
      </c>
      <c r="W35" s="26" t="s">
        <v>168</v>
      </c>
      <c r="X35" s="24" t="s">
        <v>168</v>
      </c>
      <c r="Y35" s="25" t="s">
        <v>51</v>
      </c>
      <c r="Z35" s="25" t="s">
        <v>51</v>
      </c>
      <c r="AA35" s="25" t="s">
        <v>51</v>
      </c>
      <c r="AB35" s="22" t="s">
        <v>51</v>
      </c>
      <c r="AC35" s="22" t="s">
        <v>51</v>
      </c>
      <c r="AD35" s="22" t="s">
        <v>51</v>
      </c>
      <c r="AE35" s="23" t="s">
        <v>51</v>
      </c>
      <c r="AF35" s="23" t="s">
        <v>51</v>
      </c>
      <c r="AG35" s="23" t="s">
        <v>168</v>
      </c>
      <c r="AH35" s="24" t="s">
        <v>168</v>
      </c>
      <c r="AI35" s="27" t="s">
        <v>53</v>
      </c>
      <c r="AJ35" s="27" t="s">
        <v>54</v>
      </c>
      <c r="AK35" s="28" t="s">
        <v>336</v>
      </c>
      <c r="AL35" s="29" t="s">
        <v>337</v>
      </c>
      <c r="AM35" s="15">
        <v>64.0</v>
      </c>
      <c r="AN35" s="30" t="s">
        <v>57</v>
      </c>
      <c r="AO35" s="16" t="s">
        <v>238</v>
      </c>
      <c r="AP35" s="16" t="s">
        <v>83</v>
      </c>
      <c r="AQ35" s="30" t="s">
        <v>338</v>
      </c>
      <c r="AR35" s="30" t="s">
        <v>339</v>
      </c>
      <c r="AS35" s="16" t="s">
        <v>340</v>
      </c>
      <c r="AT35" s="15">
        <v>3479.0</v>
      </c>
      <c r="AU35" s="33" t="s">
        <v>341</v>
      </c>
    </row>
    <row r="36" ht="56.25" customHeight="1">
      <c r="A36" s="15">
        <v>70.0</v>
      </c>
      <c r="B36" s="16" t="s">
        <v>342</v>
      </c>
      <c r="C36" s="27" t="str">
        <f>IMAGE("https://nh-cdn.catalogue.ac/MenuIcon/Ins66.png")</f>
        <v/>
      </c>
      <c r="D36" s="27" t="str">
        <f>IMAGE("https://nh-cdn.catalogue.ac/BookInsectIcon/InsectYadokari.png")</f>
        <v/>
      </c>
      <c r="E36" s="18" t="str">
        <f>IMAGE("https://nh-cdn.catalogue.ac/FtrIcon/FtrInsectYadokari.png")</f>
        <v/>
      </c>
      <c r="F36" s="15">
        <v>1000.0</v>
      </c>
      <c r="G36" s="16" t="s">
        <v>343</v>
      </c>
      <c r="H36" s="19" t="s">
        <v>66</v>
      </c>
      <c r="I36" s="20">
        <v>0.0</v>
      </c>
      <c r="J36" s="21" t="s">
        <v>344</v>
      </c>
      <c r="K36" s="22" t="s">
        <v>299</v>
      </c>
      <c r="L36" s="22" t="s">
        <v>299</v>
      </c>
      <c r="M36" s="23" t="s">
        <v>299</v>
      </c>
      <c r="N36" s="23" t="s">
        <v>299</v>
      </c>
      <c r="O36" s="23" t="s">
        <v>299</v>
      </c>
      <c r="P36" s="24" t="s">
        <v>299</v>
      </c>
      <c r="Q36" s="24" t="s">
        <v>299</v>
      </c>
      <c r="R36" s="24" t="s">
        <v>299</v>
      </c>
      <c r="S36" s="25" t="s">
        <v>299</v>
      </c>
      <c r="T36" s="25" t="s">
        <v>299</v>
      </c>
      <c r="U36" s="25" t="s">
        <v>299</v>
      </c>
      <c r="V36" s="22" t="s">
        <v>299</v>
      </c>
      <c r="W36" s="26" t="s">
        <v>299</v>
      </c>
      <c r="X36" s="24" t="s">
        <v>299</v>
      </c>
      <c r="Y36" s="25" t="s">
        <v>299</v>
      </c>
      <c r="Z36" s="25" t="s">
        <v>299</v>
      </c>
      <c r="AA36" s="25" t="s">
        <v>299</v>
      </c>
      <c r="AB36" s="22" t="s">
        <v>299</v>
      </c>
      <c r="AC36" s="22" t="s">
        <v>299</v>
      </c>
      <c r="AD36" s="22" t="s">
        <v>299</v>
      </c>
      <c r="AE36" s="23" t="s">
        <v>299</v>
      </c>
      <c r="AF36" s="23" t="s">
        <v>299</v>
      </c>
      <c r="AG36" s="23" t="s">
        <v>299</v>
      </c>
      <c r="AH36" s="24" t="s">
        <v>299</v>
      </c>
      <c r="AI36" s="27" t="s">
        <v>53</v>
      </c>
      <c r="AJ36" s="27" t="s">
        <v>54</v>
      </c>
      <c r="AK36" s="28" t="s">
        <v>345</v>
      </c>
      <c r="AL36" s="29" t="s">
        <v>346</v>
      </c>
      <c r="AM36" s="15">
        <v>64.0</v>
      </c>
      <c r="AN36" s="30" t="s">
        <v>57</v>
      </c>
      <c r="AO36" s="16" t="s">
        <v>115</v>
      </c>
      <c r="AP36" s="16" t="s">
        <v>58</v>
      </c>
      <c r="AQ36" s="30" t="s">
        <v>347</v>
      </c>
      <c r="AR36" s="30" t="s">
        <v>348</v>
      </c>
      <c r="AS36" s="16" t="s">
        <v>349</v>
      </c>
      <c r="AT36" s="15">
        <v>651.0</v>
      </c>
      <c r="AU36" s="33" t="s">
        <v>350</v>
      </c>
    </row>
    <row r="37" ht="56.25" customHeight="1">
      <c r="A37" s="15">
        <v>24.0</v>
      </c>
      <c r="B37" s="16" t="s">
        <v>351</v>
      </c>
      <c r="C37" s="27" t="str">
        <f>IMAGE("https://nh-cdn.catalogue.ac/MenuIcon/Ins11.png")</f>
        <v/>
      </c>
      <c r="D37" s="27" t="str">
        <f>IMAGE("https://nh-cdn.catalogue.ac/BookInsectIcon/InsectMitsubachi.png")</f>
        <v/>
      </c>
      <c r="E37" s="18" t="str">
        <f>IMAGE("https://nh-cdn.catalogue.ac/FtrIcon/FtrInsectMitsubachi.png")</f>
        <v/>
      </c>
      <c r="F37" s="15">
        <v>200.0</v>
      </c>
      <c r="G37" s="19" t="s">
        <v>48</v>
      </c>
      <c r="H37" s="16" t="s">
        <v>49</v>
      </c>
      <c r="I37" s="20">
        <v>0.0</v>
      </c>
      <c r="J37" s="21" t="s">
        <v>140</v>
      </c>
      <c r="K37" s="22" t="s">
        <v>51</v>
      </c>
      <c r="L37" s="22" t="s">
        <v>51</v>
      </c>
      <c r="M37" s="23" t="s">
        <v>52</v>
      </c>
      <c r="N37" s="23" t="s">
        <v>52</v>
      </c>
      <c r="O37" s="23" t="s">
        <v>52</v>
      </c>
      <c r="P37" s="24" t="s">
        <v>52</v>
      </c>
      <c r="Q37" s="24" t="s">
        <v>52</v>
      </c>
      <c r="R37" s="24" t="s">
        <v>51</v>
      </c>
      <c r="S37" s="25" t="s">
        <v>51</v>
      </c>
      <c r="T37" s="25" t="s">
        <v>51</v>
      </c>
      <c r="U37" s="25" t="s">
        <v>51</v>
      </c>
      <c r="V37" s="22" t="s">
        <v>51</v>
      </c>
      <c r="W37" s="26" t="s">
        <v>52</v>
      </c>
      <c r="X37" s="24" t="s">
        <v>51</v>
      </c>
      <c r="Y37" s="25" t="s">
        <v>51</v>
      </c>
      <c r="Z37" s="25" t="s">
        <v>51</v>
      </c>
      <c r="AA37" s="25" t="s">
        <v>51</v>
      </c>
      <c r="AB37" s="22" t="s">
        <v>51</v>
      </c>
      <c r="AC37" s="22" t="s">
        <v>51</v>
      </c>
      <c r="AD37" s="22" t="s">
        <v>51</v>
      </c>
      <c r="AE37" s="23" t="s">
        <v>52</v>
      </c>
      <c r="AF37" s="23" t="s">
        <v>52</v>
      </c>
      <c r="AG37" s="23" t="s">
        <v>52</v>
      </c>
      <c r="AH37" s="24" t="s">
        <v>52</v>
      </c>
      <c r="AI37" s="27" t="s">
        <v>53</v>
      </c>
      <c r="AJ37" s="27" t="s">
        <v>69</v>
      </c>
      <c r="AK37" s="28" t="s">
        <v>352</v>
      </c>
      <c r="AL37" s="29" t="s">
        <v>353</v>
      </c>
      <c r="AM37" s="15">
        <v>64.0</v>
      </c>
      <c r="AN37" s="30" t="s">
        <v>57</v>
      </c>
      <c r="AO37" s="16" t="s">
        <v>84</v>
      </c>
      <c r="AP37" s="16" t="s">
        <v>95</v>
      </c>
      <c r="AQ37" s="30" t="s">
        <v>354</v>
      </c>
      <c r="AR37" s="30" t="s">
        <v>355</v>
      </c>
      <c r="AS37" s="16" t="s">
        <v>356</v>
      </c>
      <c r="AT37" s="15">
        <v>623.0</v>
      </c>
      <c r="AU37" s="33" t="s">
        <v>357</v>
      </c>
    </row>
    <row r="38" ht="56.25" customHeight="1">
      <c r="A38" s="15">
        <v>63.0</v>
      </c>
      <c r="B38" s="16" t="s">
        <v>358</v>
      </c>
      <c r="C38" s="27" t="str">
        <f>IMAGE("https://nh-cdn.catalogue.ac/MenuIcon/Ins52.png")</f>
        <v/>
      </c>
      <c r="D38" s="27" t="str">
        <f>IMAGE("https://nh-cdn.catalogue.ac/BookInsectIcon/InsectKohkasasuohkabuto.png")</f>
        <v/>
      </c>
      <c r="E38" s="18" t="str">
        <f>IMAGE("https://nh-cdn.catalogue.ac/FtrIcon/FtrInsectKohkasasuohkabuto.png")</f>
        <v/>
      </c>
      <c r="F38" s="15">
        <v>8000.0</v>
      </c>
      <c r="G38" s="19" t="s">
        <v>121</v>
      </c>
      <c r="H38" s="19" t="s">
        <v>66</v>
      </c>
      <c r="I38" s="20">
        <v>100.0</v>
      </c>
      <c r="J38" s="21" t="s">
        <v>122</v>
      </c>
      <c r="K38" s="22" t="s">
        <v>51</v>
      </c>
      <c r="L38" s="22" t="s">
        <v>51</v>
      </c>
      <c r="M38" s="23" t="s">
        <v>51</v>
      </c>
      <c r="N38" s="23" t="s">
        <v>51</v>
      </c>
      <c r="O38" s="23" t="s">
        <v>51</v>
      </c>
      <c r="P38" s="24" t="s">
        <v>51</v>
      </c>
      <c r="Q38" s="24" t="s">
        <v>112</v>
      </c>
      <c r="R38" s="24" t="s">
        <v>112</v>
      </c>
      <c r="S38" s="25" t="s">
        <v>51</v>
      </c>
      <c r="T38" s="25" t="s">
        <v>51</v>
      </c>
      <c r="U38" s="25" t="s">
        <v>51</v>
      </c>
      <c r="V38" s="22" t="s">
        <v>51</v>
      </c>
      <c r="W38" s="26" t="s">
        <v>112</v>
      </c>
      <c r="X38" s="24" t="s">
        <v>112</v>
      </c>
      <c r="Y38" s="25" t="s">
        <v>51</v>
      </c>
      <c r="Z38" s="25" t="s">
        <v>51</v>
      </c>
      <c r="AA38" s="25" t="s">
        <v>51</v>
      </c>
      <c r="AB38" s="22" t="s">
        <v>51</v>
      </c>
      <c r="AC38" s="22" t="s">
        <v>51</v>
      </c>
      <c r="AD38" s="22" t="s">
        <v>51</v>
      </c>
      <c r="AE38" s="23" t="s">
        <v>51</v>
      </c>
      <c r="AF38" s="23" t="s">
        <v>51</v>
      </c>
      <c r="AG38" s="23" t="s">
        <v>51</v>
      </c>
      <c r="AH38" s="24" t="s">
        <v>51</v>
      </c>
      <c r="AI38" s="27" t="s">
        <v>53</v>
      </c>
      <c r="AJ38" s="27" t="s">
        <v>54</v>
      </c>
      <c r="AK38" s="28" t="s">
        <v>359</v>
      </c>
      <c r="AL38" s="29" t="s">
        <v>360</v>
      </c>
      <c r="AM38" s="15">
        <v>64.0</v>
      </c>
      <c r="AN38" s="30" t="s">
        <v>57</v>
      </c>
      <c r="AO38" s="16" t="s">
        <v>72</v>
      </c>
      <c r="AP38" s="16" t="s">
        <v>72</v>
      </c>
      <c r="AQ38" s="30" t="s">
        <v>361</v>
      </c>
      <c r="AR38" s="30" t="s">
        <v>362</v>
      </c>
      <c r="AS38" s="16" t="s">
        <v>363</v>
      </c>
      <c r="AT38" s="15">
        <v>615.0</v>
      </c>
      <c r="AU38" s="33" t="s">
        <v>364</v>
      </c>
    </row>
    <row r="39" ht="56.25" customHeight="1">
      <c r="A39" s="15">
        <v>62.0</v>
      </c>
      <c r="B39" s="16" t="s">
        <v>365</v>
      </c>
      <c r="C39" s="27" t="str">
        <f>IMAGE("https://nh-cdn.catalogue.ac/MenuIcon/Ins51.png")</f>
        <v/>
      </c>
      <c r="D39" s="27" t="str">
        <f>IMAGE("https://nh-cdn.catalogue.ac/BookInsectIcon/InsectKabutomushi.png")</f>
        <v/>
      </c>
      <c r="E39" s="18" t="str">
        <f>IMAGE("https://nh-cdn.catalogue.ac/FtrIcon/FtrInsectKabutomushi.png")</f>
        <v/>
      </c>
      <c r="F39" s="15">
        <v>1350.0</v>
      </c>
      <c r="G39" s="19" t="s">
        <v>79</v>
      </c>
      <c r="H39" s="19" t="s">
        <v>66</v>
      </c>
      <c r="I39" s="20">
        <v>0.0</v>
      </c>
      <c r="J39" s="21" t="s">
        <v>366</v>
      </c>
      <c r="K39" s="22" t="s">
        <v>51</v>
      </c>
      <c r="L39" s="22" t="s">
        <v>51</v>
      </c>
      <c r="M39" s="23" t="s">
        <v>51</v>
      </c>
      <c r="N39" s="23" t="s">
        <v>51</v>
      </c>
      <c r="O39" s="23" t="s">
        <v>51</v>
      </c>
      <c r="P39" s="24" t="s">
        <v>51</v>
      </c>
      <c r="Q39" s="24" t="s">
        <v>112</v>
      </c>
      <c r="R39" s="24" t="s">
        <v>112</v>
      </c>
      <c r="S39" s="25" t="s">
        <v>51</v>
      </c>
      <c r="T39" s="25" t="s">
        <v>51</v>
      </c>
      <c r="U39" s="25" t="s">
        <v>51</v>
      </c>
      <c r="V39" s="22" t="s">
        <v>51</v>
      </c>
      <c r="W39" s="26" t="s">
        <v>112</v>
      </c>
      <c r="X39" s="24" t="s">
        <v>112</v>
      </c>
      <c r="Y39" s="25" t="s">
        <v>51</v>
      </c>
      <c r="Z39" s="25" t="s">
        <v>51</v>
      </c>
      <c r="AA39" s="25" t="s">
        <v>51</v>
      </c>
      <c r="AB39" s="22" t="s">
        <v>51</v>
      </c>
      <c r="AC39" s="22" t="s">
        <v>51</v>
      </c>
      <c r="AD39" s="22" t="s">
        <v>51</v>
      </c>
      <c r="AE39" s="23" t="s">
        <v>51</v>
      </c>
      <c r="AF39" s="23" t="s">
        <v>51</v>
      </c>
      <c r="AG39" s="23" t="s">
        <v>51</v>
      </c>
      <c r="AH39" s="24" t="s">
        <v>51</v>
      </c>
      <c r="AI39" s="27" t="s">
        <v>53</v>
      </c>
      <c r="AJ39" s="27" t="s">
        <v>54</v>
      </c>
      <c r="AK39" s="28" t="s">
        <v>367</v>
      </c>
      <c r="AL39" s="29" t="s">
        <v>368</v>
      </c>
      <c r="AM39" s="15">
        <v>64.0</v>
      </c>
      <c r="AN39" s="30" t="s">
        <v>57</v>
      </c>
      <c r="AO39" s="16" t="s">
        <v>94</v>
      </c>
      <c r="AP39" s="16" t="s">
        <v>72</v>
      </c>
      <c r="AQ39" s="30" t="s">
        <v>369</v>
      </c>
      <c r="AR39" s="30" t="s">
        <v>370</v>
      </c>
      <c r="AS39" s="16" t="s">
        <v>371</v>
      </c>
      <c r="AT39" s="15">
        <v>612.0</v>
      </c>
      <c r="AU39" s="33" t="s">
        <v>372</v>
      </c>
    </row>
    <row r="40" ht="56.25" customHeight="1">
      <c r="A40" s="15">
        <v>64.0</v>
      </c>
      <c r="B40" s="16" t="s">
        <v>373</v>
      </c>
      <c r="C40" s="27" t="str">
        <f>IMAGE("https://nh-cdn.catalogue.ac/MenuIcon/Ins53.png")</f>
        <v/>
      </c>
      <c r="D40" s="27" t="str">
        <f>IMAGE("https://nh-cdn.catalogue.ac/BookInsectIcon/InsectZoukabuto.png")</f>
        <v/>
      </c>
      <c r="E40" s="18" t="str">
        <f>IMAGE("https://nh-cdn.catalogue.ac/FtrIcon/FtrInsectZoukabuto.png")</f>
        <v/>
      </c>
      <c r="F40" s="15">
        <v>8000.0</v>
      </c>
      <c r="G40" s="19" t="s">
        <v>121</v>
      </c>
      <c r="H40" s="19" t="s">
        <v>66</v>
      </c>
      <c r="I40" s="20">
        <v>100.0</v>
      </c>
      <c r="J40" s="21" t="s">
        <v>122</v>
      </c>
      <c r="K40" s="22" t="s">
        <v>51</v>
      </c>
      <c r="L40" s="22" t="s">
        <v>51</v>
      </c>
      <c r="M40" s="23" t="s">
        <v>51</v>
      </c>
      <c r="N40" s="23" t="s">
        <v>51</v>
      </c>
      <c r="O40" s="23" t="s">
        <v>51</v>
      </c>
      <c r="P40" s="24" t="s">
        <v>51</v>
      </c>
      <c r="Q40" s="24" t="s">
        <v>112</v>
      </c>
      <c r="R40" s="24" t="s">
        <v>112</v>
      </c>
      <c r="S40" s="25" t="s">
        <v>51</v>
      </c>
      <c r="T40" s="25" t="s">
        <v>51</v>
      </c>
      <c r="U40" s="25" t="s">
        <v>51</v>
      </c>
      <c r="V40" s="22" t="s">
        <v>51</v>
      </c>
      <c r="W40" s="26" t="s">
        <v>112</v>
      </c>
      <c r="X40" s="24" t="s">
        <v>112</v>
      </c>
      <c r="Y40" s="25" t="s">
        <v>51</v>
      </c>
      <c r="Z40" s="25" t="s">
        <v>51</v>
      </c>
      <c r="AA40" s="25" t="s">
        <v>51</v>
      </c>
      <c r="AB40" s="22" t="s">
        <v>51</v>
      </c>
      <c r="AC40" s="22" t="s">
        <v>51</v>
      </c>
      <c r="AD40" s="22" t="s">
        <v>51</v>
      </c>
      <c r="AE40" s="23" t="s">
        <v>51</v>
      </c>
      <c r="AF40" s="23" t="s">
        <v>51</v>
      </c>
      <c r="AG40" s="23" t="s">
        <v>51</v>
      </c>
      <c r="AH40" s="24" t="s">
        <v>51</v>
      </c>
      <c r="AI40" s="27" t="s">
        <v>53</v>
      </c>
      <c r="AJ40" s="27" t="s">
        <v>54</v>
      </c>
      <c r="AK40" s="28" t="s">
        <v>374</v>
      </c>
      <c r="AL40" s="29" t="s">
        <v>375</v>
      </c>
      <c r="AM40" s="15">
        <v>64.0</v>
      </c>
      <c r="AN40" s="30" t="s">
        <v>57</v>
      </c>
      <c r="AO40" s="16" t="s">
        <v>115</v>
      </c>
      <c r="AP40" s="16" t="s">
        <v>72</v>
      </c>
      <c r="AQ40" s="30" t="s">
        <v>376</v>
      </c>
      <c r="AR40" s="30" t="s">
        <v>377</v>
      </c>
      <c r="AS40" s="16" t="s">
        <v>378</v>
      </c>
      <c r="AT40" s="15">
        <v>653.0</v>
      </c>
      <c r="AU40" s="33" t="s">
        <v>379</v>
      </c>
    </row>
    <row r="41" ht="56.25" customHeight="1">
      <c r="A41" s="15">
        <v>65.0</v>
      </c>
      <c r="B41" s="16" t="s">
        <v>380</v>
      </c>
      <c r="C41" s="27" t="str">
        <f>IMAGE("https://nh-cdn.catalogue.ac/MenuIcon/Ins54.png")</f>
        <v/>
      </c>
      <c r="D41" s="27" t="str">
        <f>IMAGE("https://nh-cdn.catalogue.ac/BookInsectIcon/InsectHerakuresuohkabuto.png")</f>
        <v/>
      </c>
      <c r="E41" s="18" t="str">
        <f>IMAGE("https://nh-cdn.catalogue.ac/FtrIcon/FtrInsectHerakuresuohkabuto.png")</f>
        <v/>
      </c>
      <c r="F41" s="15">
        <v>12000.0</v>
      </c>
      <c r="G41" s="19" t="s">
        <v>121</v>
      </c>
      <c r="H41" s="19" t="s">
        <v>66</v>
      </c>
      <c r="I41" s="20">
        <v>100.0</v>
      </c>
      <c r="J41" s="21" t="s">
        <v>149</v>
      </c>
      <c r="K41" s="22" t="s">
        <v>51</v>
      </c>
      <c r="L41" s="22" t="s">
        <v>51</v>
      </c>
      <c r="M41" s="23" t="s">
        <v>51</v>
      </c>
      <c r="N41" s="23" t="s">
        <v>51</v>
      </c>
      <c r="O41" s="23" t="s">
        <v>51</v>
      </c>
      <c r="P41" s="24" t="s">
        <v>51</v>
      </c>
      <c r="Q41" s="24" t="s">
        <v>112</v>
      </c>
      <c r="R41" s="24" t="s">
        <v>112</v>
      </c>
      <c r="S41" s="25" t="s">
        <v>51</v>
      </c>
      <c r="T41" s="25" t="s">
        <v>51</v>
      </c>
      <c r="U41" s="25" t="s">
        <v>51</v>
      </c>
      <c r="V41" s="22" t="s">
        <v>51</v>
      </c>
      <c r="W41" s="26" t="s">
        <v>112</v>
      </c>
      <c r="X41" s="24" t="s">
        <v>112</v>
      </c>
      <c r="Y41" s="25" t="s">
        <v>51</v>
      </c>
      <c r="Z41" s="25" t="s">
        <v>51</v>
      </c>
      <c r="AA41" s="25" t="s">
        <v>51</v>
      </c>
      <c r="AB41" s="22" t="s">
        <v>51</v>
      </c>
      <c r="AC41" s="22" t="s">
        <v>51</v>
      </c>
      <c r="AD41" s="22" t="s">
        <v>51</v>
      </c>
      <c r="AE41" s="23" t="s">
        <v>51</v>
      </c>
      <c r="AF41" s="23" t="s">
        <v>51</v>
      </c>
      <c r="AG41" s="23" t="s">
        <v>51</v>
      </c>
      <c r="AH41" s="24" t="s">
        <v>51</v>
      </c>
      <c r="AI41" s="27" t="s">
        <v>53</v>
      </c>
      <c r="AJ41" s="27" t="s">
        <v>54</v>
      </c>
      <c r="AK41" s="28" t="s">
        <v>381</v>
      </c>
      <c r="AL41" s="29" t="s">
        <v>382</v>
      </c>
      <c r="AM41" s="15">
        <v>64.0</v>
      </c>
      <c r="AN41" s="30" t="s">
        <v>57</v>
      </c>
      <c r="AO41" s="16" t="s">
        <v>84</v>
      </c>
      <c r="AP41" s="16" t="s">
        <v>72</v>
      </c>
      <c r="AQ41" s="30" t="s">
        <v>383</v>
      </c>
      <c r="AR41" s="30" t="s">
        <v>384</v>
      </c>
      <c r="AS41" s="16" t="s">
        <v>385</v>
      </c>
      <c r="AT41" s="15">
        <v>600.0</v>
      </c>
      <c r="AU41" s="33" t="s">
        <v>386</v>
      </c>
    </row>
    <row r="42" ht="56.25" customHeight="1">
      <c r="A42" s="15">
        <v>45.0</v>
      </c>
      <c r="B42" s="16" t="s">
        <v>387</v>
      </c>
      <c r="C42" s="27" t="str">
        <f>IMAGE("https://nh-cdn.catalogue.ac/MenuIcon/Ins44.png")</f>
        <v/>
      </c>
      <c r="D42" s="27" t="str">
        <f>IMAGE("https://nh-cdn.catalogue.ac/BookInsectIcon/InsectTamamushi.png")</f>
        <v/>
      </c>
      <c r="E42" s="18" t="str">
        <f>IMAGE("https://nh-cdn.catalogue.ac/FtrIcon/FtrInsectTamamushi.png")</f>
        <v/>
      </c>
      <c r="F42" s="15">
        <v>2400.0</v>
      </c>
      <c r="G42" s="16" t="s">
        <v>158</v>
      </c>
      <c r="H42" s="16" t="s">
        <v>49</v>
      </c>
      <c r="I42" s="20">
        <v>20.0</v>
      </c>
      <c r="J42" s="21" t="s">
        <v>50</v>
      </c>
      <c r="K42" s="22" t="s">
        <v>51</v>
      </c>
      <c r="L42" s="22" t="s">
        <v>51</v>
      </c>
      <c r="M42" s="23" t="s">
        <v>51</v>
      </c>
      <c r="N42" s="23" t="s">
        <v>68</v>
      </c>
      <c r="O42" s="23" t="s">
        <v>68</v>
      </c>
      <c r="P42" s="24" t="s">
        <v>68</v>
      </c>
      <c r="Q42" s="24" t="s">
        <v>68</v>
      </c>
      <c r="R42" s="24" t="s">
        <v>68</v>
      </c>
      <c r="S42" s="25" t="s">
        <v>51</v>
      </c>
      <c r="T42" s="25" t="s">
        <v>51</v>
      </c>
      <c r="U42" s="25" t="s">
        <v>51</v>
      </c>
      <c r="V42" s="22" t="s">
        <v>51</v>
      </c>
      <c r="W42" s="26" t="s">
        <v>68</v>
      </c>
      <c r="X42" s="24" t="s">
        <v>68</v>
      </c>
      <c r="Y42" s="25" t="s">
        <v>51</v>
      </c>
      <c r="Z42" s="25" t="s">
        <v>51</v>
      </c>
      <c r="AA42" s="25" t="s">
        <v>51</v>
      </c>
      <c r="AB42" s="22" t="s">
        <v>51</v>
      </c>
      <c r="AC42" s="22" t="s">
        <v>51</v>
      </c>
      <c r="AD42" s="22" t="s">
        <v>51</v>
      </c>
      <c r="AE42" s="23" t="s">
        <v>51</v>
      </c>
      <c r="AF42" s="23" t="s">
        <v>68</v>
      </c>
      <c r="AG42" s="23" t="s">
        <v>68</v>
      </c>
      <c r="AH42" s="24" t="s">
        <v>68</v>
      </c>
      <c r="AI42" s="27" t="s">
        <v>53</v>
      </c>
      <c r="AJ42" s="27" t="s">
        <v>54</v>
      </c>
      <c r="AK42" s="28" t="s">
        <v>388</v>
      </c>
      <c r="AL42" s="29" t="s">
        <v>389</v>
      </c>
      <c r="AM42" s="15">
        <v>64.0</v>
      </c>
      <c r="AN42" s="30" t="s">
        <v>57</v>
      </c>
      <c r="AO42" s="16" t="s">
        <v>59</v>
      </c>
      <c r="AP42" s="16" t="s">
        <v>72</v>
      </c>
      <c r="AQ42" s="30" t="s">
        <v>390</v>
      </c>
      <c r="AR42" s="30" t="s">
        <v>391</v>
      </c>
      <c r="AS42" s="16" t="s">
        <v>392</v>
      </c>
      <c r="AT42" s="15">
        <v>645.0</v>
      </c>
      <c r="AU42" s="33" t="s">
        <v>393</v>
      </c>
    </row>
    <row r="43" ht="56.25" customHeight="1">
      <c r="A43" s="15">
        <v>43.0</v>
      </c>
      <c r="B43" s="16" t="s">
        <v>394</v>
      </c>
      <c r="C43" s="27" t="str">
        <f>IMAGE("https://nh-cdn.catalogue.ac/MenuIcon/Ins37.png")</f>
        <v/>
      </c>
      <c r="D43" s="27" t="str">
        <f>IMAGE("https://nh-cdn.catalogue.ac/BookInsectIcon/InsectTentoumushi.png")</f>
        <v/>
      </c>
      <c r="E43" s="18" t="str">
        <f>IMAGE("https://nh-cdn.catalogue.ac/FtrIcon/FtrInsectTentoumushi.png")</f>
        <v/>
      </c>
      <c r="F43" s="15">
        <v>200.0</v>
      </c>
      <c r="G43" s="19" t="s">
        <v>395</v>
      </c>
      <c r="H43" s="16" t="s">
        <v>49</v>
      </c>
      <c r="I43" s="20">
        <v>0.0</v>
      </c>
      <c r="J43" s="21" t="s">
        <v>204</v>
      </c>
      <c r="K43" s="22" t="s">
        <v>51</v>
      </c>
      <c r="L43" s="22" t="s">
        <v>51</v>
      </c>
      <c r="M43" s="23" t="s">
        <v>52</v>
      </c>
      <c r="N43" s="23" t="s">
        <v>52</v>
      </c>
      <c r="O43" s="23" t="s">
        <v>52</v>
      </c>
      <c r="P43" s="24" t="s">
        <v>52</v>
      </c>
      <c r="Q43" s="24" t="s">
        <v>51</v>
      </c>
      <c r="R43" s="24" t="s">
        <v>51</v>
      </c>
      <c r="S43" s="25" t="s">
        <v>51</v>
      </c>
      <c r="T43" s="25" t="s">
        <v>52</v>
      </c>
      <c r="U43" s="25" t="s">
        <v>51</v>
      </c>
      <c r="V43" s="22" t="s">
        <v>51</v>
      </c>
      <c r="W43" s="26" t="s">
        <v>51</v>
      </c>
      <c r="X43" s="24" t="s">
        <v>51</v>
      </c>
      <c r="Y43" s="25" t="s">
        <v>51</v>
      </c>
      <c r="Z43" s="25" t="s">
        <v>52</v>
      </c>
      <c r="AA43" s="25" t="s">
        <v>51</v>
      </c>
      <c r="AB43" s="22" t="s">
        <v>51</v>
      </c>
      <c r="AC43" s="22" t="s">
        <v>51</v>
      </c>
      <c r="AD43" s="22" t="s">
        <v>51</v>
      </c>
      <c r="AE43" s="23" t="s">
        <v>52</v>
      </c>
      <c r="AF43" s="23" t="s">
        <v>52</v>
      </c>
      <c r="AG43" s="23" t="s">
        <v>52</v>
      </c>
      <c r="AH43" s="24" t="s">
        <v>52</v>
      </c>
      <c r="AI43" s="27" t="s">
        <v>53</v>
      </c>
      <c r="AJ43" s="27" t="s">
        <v>69</v>
      </c>
      <c r="AK43" s="28" t="s">
        <v>396</v>
      </c>
      <c r="AL43" s="29" t="s">
        <v>397</v>
      </c>
      <c r="AM43" s="15">
        <v>64.0</v>
      </c>
      <c r="AN43" s="30" t="s">
        <v>57</v>
      </c>
      <c r="AO43" s="16" t="s">
        <v>323</v>
      </c>
      <c r="AP43" s="16" t="s">
        <v>59</v>
      </c>
      <c r="AQ43" s="30" t="s">
        <v>398</v>
      </c>
      <c r="AR43" s="30" t="s">
        <v>399</v>
      </c>
      <c r="AS43" s="16" t="s">
        <v>400</v>
      </c>
      <c r="AT43" s="15">
        <v>647.0</v>
      </c>
      <c r="AU43" s="33" t="s">
        <v>401</v>
      </c>
    </row>
    <row r="44" ht="56.25" customHeight="1">
      <c r="A44" s="15">
        <v>16.0</v>
      </c>
      <c r="B44" s="16" t="s">
        <v>402</v>
      </c>
      <c r="C44" s="27" t="str">
        <f>IMAGE("https://nh-cdn.catalogue.ac/MenuIcon/Ins13.png")</f>
        <v/>
      </c>
      <c r="D44" s="27" t="str">
        <f>IMAGE("https://nh-cdn.catalogue.ac/BookInsectIcon/InsectShoryobatta.png")</f>
        <v/>
      </c>
      <c r="E44" s="18" t="str">
        <f>IMAGE("https://nh-cdn.catalogue.ac/FtrIcon/FtrInsectShoryobatta.png")</f>
        <v/>
      </c>
      <c r="F44" s="15">
        <v>200.0</v>
      </c>
      <c r="G44" s="19" t="s">
        <v>110</v>
      </c>
      <c r="H44" s="19" t="s">
        <v>66</v>
      </c>
      <c r="I44" s="20">
        <v>0.0</v>
      </c>
      <c r="J44" s="21" t="s">
        <v>91</v>
      </c>
      <c r="K44" s="22" t="s">
        <v>51</v>
      </c>
      <c r="L44" s="22" t="s">
        <v>51</v>
      </c>
      <c r="M44" s="23" t="s">
        <v>51</v>
      </c>
      <c r="N44" s="23" t="s">
        <v>213</v>
      </c>
      <c r="O44" s="23" t="s">
        <v>213</v>
      </c>
      <c r="P44" s="24" t="s">
        <v>213</v>
      </c>
      <c r="Q44" s="24" t="s">
        <v>213</v>
      </c>
      <c r="R44" s="24" t="s">
        <v>213</v>
      </c>
      <c r="S44" s="25" t="s">
        <v>213</v>
      </c>
      <c r="T44" s="25" t="s">
        <v>213</v>
      </c>
      <c r="U44" s="25" t="s">
        <v>213</v>
      </c>
      <c r="V44" s="22" t="s">
        <v>51</v>
      </c>
      <c r="W44" s="26" t="s">
        <v>213</v>
      </c>
      <c r="X44" s="24" t="s">
        <v>213</v>
      </c>
      <c r="Y44" s="25" t="s">
        <v>213</v>
      </c>
      <c r="Z44" s="25" t="s">
        <v>213</v>
      </c>
      <c r="AA44" s="25" t="s">
        <v>213</v>
      </c>
      <c r="AB44" s="22" t="s">
        <v>51</v>
      </c>
      <c r="AC44" s="22" t="s">
        <v>51</v>
      </c>
      <c r="AD44" s="22" t="s">
        <v>51</v>
      </c>
      <c r="AE44" s="23" t="s">
        <v>51</v>
      </c>
      <c r="AF44" s="23" t="s">
        <v>213</v>
      </c>
      <c r="AG44" s="23" t="s">
        <v>213</v>
      </c>
      <c r="AH44" s="24" t="s">
        <v>213</v>
      </c>
      <c r="AI44" s="27" t="s">
        <v>53</v>
      </c>
      <c r="AJ44" s="27" t="s">
        <v>54</v>
      </c>
      <c r="AK44" s="28" t="s">
        <v>403</v>
      </c>
      <c r="AL44" s="29" t="s">
        <v>404</v>
      </c>
      <c r="AM44" s="15">
        <v>64.0</v>
      </c>
      <c r="AN44" s="30" t="s">
        <v>57</v>
      </c>
      <c r="AO44" s="16" t="s">
        <v>59</v>
      </c>
      <c r="AP44" s="16" t="s">
        <v>95</v>
      </c>
      <c r="AQ44" s="30" t="s">
        <v>405</v>
      </c>
      <c r="AR44" s="30" t="s">
        <v>406</v>
      </c>
      <c r="AS44" s="16" t="s">
        <v>407</v>
      </c>
      <c r="AT44" s="15">
        <v>644.0</v>
      </c>
      <c r="AU44" s="33" t="s">
        <v>408</v>
      </c>
    </row>
    <row r="45" ht="56.25" customHeight="1">
      <c r="A45" s="15">
        <v>15.0</v>
      </c>
      <c r="B45" s="16" t="s">
        <v>409</v>
      </c>
      <c r="C45" s="27" t="str">
        <f>IMAGE("https://nh-cdn.catalogue.ac/MenuIcon/Ins79.png")</f>
        <v/>
      </c>
      <c r="D45" s="27" t="str">
        <f>IMAGE("https://nh-cdn.catalogue.ac/BookInsectIcon/InsectNishikiohtsubamega.png")</f>
        <v/>
      </c>
      <c r="E45" s="18" t="str">
        <f>IMAGE("https://nh-cdn.catalogue.ac/FtrIcon/FtrInsectNishikiohtsubamega.png")</f>
        <v/>
      </c>
      <c r="F45" s="15">
        <v>2500.0</v>
      </c>
      <c r="G45" s="19" t="s">
        <v>48</v>
      </c>
      <c r="H45" s="16" t="s">
        <v>49</v>
      </c>
      <c r="I45" s="20">
        <v>20.0</v>
      </c>
      <c r="J45" s="21" t="s">
        <v>50</v>
      </c>
      <c r="K45" s="22" t="s">
        <v>51</v>
      </c>
      <c r="L45" s="22" t="s">
        <v>51</v>
      </c>
      <c r="M45" s="23" t="s">
        <v>51</v>
      </c>
      <c r="N45" s="23" t="s">
        <v>410</v>
      </c>
      <c r="O45" s="23" t="s">
        <v>410</v>
      </c>
      <c r="P45" s="24" t="s">
        <v>410</v>
      </c>
      <c r="Q45" s="24" t="s">
        <v>410</v>
      </c>
      <c r="R45" s="24" t="s">
        <v>410</v>
      </c>
      <c r="S45" s="25" t="s">
        <v>410</v>
      </c>
      <c r="T45" s="25" t="s">
        <v>51</v>
      </c>
      <c r="U45" s="25" t="s">
        <v>51</v>
      </c>
      <c r="V45" s="22" t="s">
        <v>51</v>
      </c>
      <c r="W45" s="26" t="s">
        <v>410</v>
      </c>
      <c r="X45" s="24" t="s">
        <v>410</v>
      </c>
      <c r="Y45" s="25" t="s">
        <v>410</v>
      </c>
      <c r="Z45" s="25" t="s">
        <v>51</v>
      </c>
      <c r="AA45" s="25" t="s">
        <v>51</v>
      </c>
      <c r="AB45" s="22" t="s">
        <v>51</v>
      </c>
      <c r="AC45" s="22" t="s">
        <v>51</v>
      </c>
      <c r="AD45" s="22" t="s">
        <v>51</v>
      </c>
      <c r="AE45" s="23" t="s">
        <v>51</v>
      </c>
      <c r="AF45" s="23" t="s">
        <v>410</v>
      </c>
      <c r="AG45" s="23" t="s">
        <v>410</v>
      </c>
      <c r="AH45" s="24" t="s">
        <v>410</v>
      </c>
      <c r="AI45" s="27" t="s">
        <v>53</v>
      </c>
      <c r="AJ45" s="27" t="s">
        <v>54</v>
      </c>
      <c r="AK45" s="28" t="s">
        <v>411</v>
      </c>
      <c r="AL45" s="29" t="s">
        <v>412</v>
      </c>
      <c r="AM45" s="15">
        <v>64.0</v>
      </c>
      <c r="AN45" s="30" t="s">
        <v>57</v>
      </c>
      <c r="AO45" s="16" t="s">
        <v>59</v>
      </c>
      <c r="AP45" s="16" t="s">
        <v>58</v>
      </c>
      <c r="AQ45" s="30" t="s">
        <v>413</v>
      </c>
      <c r="AR45" s="30" t="s">
        <v>414</v>
      </c>
      <c r="AS45" s="16" t="s">
        <v>415</v>
      </c>
      <c r="AT45" s="15">
        <v>3484.0</v>
      </c>
      <c r="AU45" s="33" t="s">
        <v>416</v>
      </c>
    </row>
    <row r="46" ht="56.25" customHeight="1">
      <c r="A46" s="15">
        <v>42.0</v>
      </c>
      <c r="B46" s="16" t="s">
        <v>417</v>
      </c>
      <c r="C46" s="27" t="str">
        <f>IMAGE("https://nh-cdn.catalogue.ac/MenuIcon/Ins78.png")</f>
        <v/>
      </c>
      <c r="D46" s="27" t="str">
        <f>IMAGE("https://nh-cdn.catalogue.ac/BookInsectIcon/InsectJinmenkamemushi.png")</f>
        <v/>
      </c>
      <c r="E46" s="18" t="str">
        <f>IMAGE("https://nh-cdn.catalogue.ac/FtrIcon/FtrInsectJinmenkamemushi.png")</f>
        <v/>
      </c>
      <c r="F46" s="15">
        <v>1000.0</v>
      </c>
      <c r="G46" s="19" t="s">
        <v>395</v>
      </c>
      <c r="H46" s="16" t="s">
        <v>49</v>
      </c>
      <c r="I46" s="20">
        <v>20.0</v>
      </c>
      <c r="J46" s="21" t="s">
        <v>418</v>
      </c>
      <c r="K46" s="22" t="s">
        <v>51</v>
      </c>
      <c r="L46" s="22" t="s">
        <v>51</v>
      </c>
      <c r="M46" s="23" t="s">
        <v>299</v>
      </c>
      <c r="N46" s="23" t="s">
        <v>299</v>
      </c>
      <c r="O46" s="23" t="s">
        <v>299</v>
      </c>
      <c r="P46" s="24" t="s">
        <v>299</v>
      </c>
      <c r="Q46" s="24" t="s">
        <v>299</v>
      </c>
      <c r="R46" s="24" t="s">
        <v>299</v>
      </c>
      <c r="S46" s="25" t="s">
        <v>299</v>
      </c>
      <c r="T46" s="25" t="s">
        <v>299</v>
      </c>
      <c r="U46" s="25" t="s">
        <v>51</v>
      </c>
      <c r="V46" s="22" t="s">
        <v>51</v>
      </c>
      <c r="W46" s="26" t="s">
        <v>299</v>
      </c>
      <c r="X46" s="24" t="s">
        <v>299</v>
      </c>
      <c r="Y46" s="25" t="s">
        <v>299</v>
      </c>
      <c r="Z46" s="25" t="s">
        <v>299</v>
      </c>
      <c r="AA46" s="25" t="s">
        <v>51</v>
      </c>
      <c r="AB46" s="22" t="s">
        <v>51</v>
      </c>
      <c r="AC46" s="22" t="s">
        <v>51</v>
      </c>
      <c r="AD46" s="22" t="s">
        <v>51</v>
      </c>
      <c r="AE46" s="23" t="s">
        <v>299</v>
      </c>
      <c r="AF46" s="23" t="s">
        <v>299</v>
      </c>
      <c r="AG46" s="23" t="s">
        <v>299</v>
      </c>
      <c r="AH46" s="24" t="s">
        <v>299</v>
      </c>
      <c r="AI46" s="27" t="s">
        <v>53</v>
      </c>
      <c r="AJ46" s="27" t="s">
        <v>54</v>
      </c>
      <c r="AK46" s="28" t="s">
        <v>419</v>
      </c>
      <c r="AL46" s="29" t="s">
        <v>420</v>
      </c>
      <c r="AM46" s="15">
        <v>64.0</v>
      </c>
      <c r="AN46" s="30" t="s">
        <v>57</v>
      </c>
      <c r="AO46" s="16" t="s">
        <v>72</v>
      </c>
      <c r="AP46" s="16" t="s">
        <v>83</v>
      </c>
      <c r="AQ46" s="30" t="s">
        <v>421</v>
      </c>
      <c r="AR46" s="30" t="s">
        <v>422</v>
      </c>
      <c r="AS46" s="16" t="s">
        <v>423</v>
      </c>
      <c r="AT46" s="15">
        <v>3483.0</v>
      </c>
      <c r="AU46" s="33" t="s">
        <v>424</v>
      </c>
    </row>
    <row r="47" ht="56.25" customHeight="1">
      <c r="A47" s="15">
        <v>22.0</v>
      </c>
      <c r="B47" s="16" t="s">
        <v>425</v>
      </c>
      <c r="C47" s="27" t="str">
        <f>IMAGE("https://nh-cdn.catalogue.ac/MenuIcon/Ins15.png")</f>
        <v/>
      </c>
      <c r="D47" s="27" t="str">
        <f>IMAGE("https://nh-cdn.catalogue.ac/BookInsectIcon/InsectKamakiri.png")</f>
        <v/>
      </c>
      <c r="E47" s="18" t="str">
        <f>IMAGE("https://nh-cdn.catalogue.ac/FtrIcon/FtrInsectKamakiri.png")</f>
        <v/>
      </c>
      <c r="F47" s="15">
        <v>430.0</v>
      </c>
      <c r="G47" s="19" t="s">
        <v>395</v>
      </c>
      <c r="H47" s="16" t="s">
        <v>49</v>
      </c>
      <c r="I47" s="20">
        <v>0.0</v>
      </c>
      <c r="J47" s="21" t="s">
        <v>140</v>
      </c>
      <c r="K47" s="22" t="s">
        <v>51</v>
      </c>
      <c r="L47" s="22" t="s">
        <v>51</v>
      </c>
      <c r="M47" s="23" t="s">
        <v>52</v>
      </c>
      <c r="N47" s="23" t="s">
        <v>52</v>
      </c>
      <c r="O47" s="23" t="s">
        <v>52</v>
      </c>
      <c r="P47" s="24" t="s">
        <v>52</v>
      </c>
      <c r="Q47" s="24" t="s">
        <v>52</v>
      </c>
      <c r="R47" s="24" t="s">
        <v>52</v>
      </c>
      <c r="S47" s="25" t="s">
        <v>52</v>
      </c>
      <c r="T47" s="25" t="s">
        <v>52</v>
      </c>
      <c r="U47" s="25" t="s">
        <v>52</v>
      </c>
      <c r="V47" s="22" t="s">
        <v>51</v>
      </c>
      <c r="W47" s="26" t="s">
        <v>52</v>
      </c>
      <c r="X47" s="24" t="s">
        <v>52</v>
      </c>
      <c r="Y47" s="25" t="s">
        <v>52</v>
      </c>
      <c r="Z47" s="25" t="s">
        <v>52</v>
      </c>
      <c r="AA47" s="25" t="s">
        <v>52</v>
      </c>
      <c r="AB47" s="22" t="s">
        <v>51</v>
      </c>
      <c r="AC47" s="22" t="s">
        <v>51</v>
      </c>
      <c r="AD47" s="22" t="s">
        <v>51</v>
      </c>
      <c r="AE47" s="23" t="s">
        <v>52</v>
      </c>
      <c r="AF47" s="23" t="s">
        <v>52</v>
      </c>
      <c r="AG47" s="23" t="s">
        <v>52</v>
      </c>
      <c r="AH47" s="24" t="s">
        <v>52</v>
      </c>
      <c r="AI47" s="27" t="s">
        <v>53</v>
      </c>
      <c r="AJ47" s="27" t="s">
        <v>54</v>
      </c>
      <c r="AK47" s="28" t="s">
        <v>426</v>
      </c>
      <c r="AL47" s="29" t="s">
        <v>427</v>
      </c>
      <c r="AM47" s="15">
        <v>64.0</v>
      </c>
      <c r="AN47" s="30" t="s">
        <v>57</v>
      </c>
      <c r="AO47" s="16" t="s">
        <v>59</v>
      </c>
      <c r="AP47" s="16" t="s">
        <v>59</v>
      </c>
      <c r="AQ47" s="30" t="s">
        <v>428</v>
      </c>
      <c r="AR47" s="30" t="s">
        <v>429</v>
      </c>
      <c r="AS47" s="16" t="s">
        <v>430</v>
      </c>
      <c r="AT47" s="15">
        <v>607.0</v>
      </c>
      <c r="AU47" s="33" t="s">
        <v>431</v>
      </c>
    </row>
    <row r="48" ht="56.25" customHeight="1">
      <c r="A48" s="15">
        <v>17.0</v>
      </c>
      <c r="B48" s="16" t="s">
        <v>432</v>
      </c>
      <c r="C48" s="27" t="str">
        <f>IMAGE("https://nh-cdn.catalogue.ac/MenuIcon/Ins14.png")</f>
        <v/>
      </c>
      <c r="D48" s="27" t="str">
        <f>IMAGE("https://nh-cdn.catalogue.ac/BookInsectIcon/InsectTonosamabatta.png")</f>
        <v/>
      </c>
      <c r="E48" s="18" t="str">
        <f>IMAGE("https://nh-cdn.catalogue.ac/FtrIcon/FtrInsectTonosamabatta.png")</f>
        <v/>
      </c>
      <c r="F48" s="15">
        <v>600.0</v>
      </c>
      <c r="G48" s="19" t="s">
        <v>110</v>
      </c>
      <c r="H48" s="19" t="s">
        <v>66</v>
      </c>
      <c r="I48" s="20">
        <v>20.0</v>
      </c>
      <c r="J48" s="21" t="s">
        <v>159</v>
      </c>
      <c r="K48" s="22" t="s">
        <v>51</v>
      </c>
      <c r="L48" s="22" t="s">
        <v>51</v>
      </c>
      <c r="M48" s="23" t="s">
        <v>51</v>
      </c>
      <c r="N48" s="23" t="s">
        <v>51</v>
      </c>
      <c r="O48" s="23" t="s">
        <v>51</v>
      </c>
      <c r="P48" s="24" t="s">
        <v>51</v>
      </c>
      <c r="Q48" s="24" t="s">
        <v>51</v>
      </c>
      <c r="R48" s="24" t="s">
        <v>213</v>
      </c>
      <c r="S48" s="25" t="s">
        <v>213</v>
      </c>
      <c r="T48" s="25" t="s">
        <v>213</v>
      </c>
      <c r="U48" s="25" t="s">
        <v>213</v>
      </c>
      <c r="V48" s="22" t="s">
        <v>51</v>
      </c>
      <c r="W48" s="26" t="s">
        <v>51</v>
      </c>
      <c r="X48" s="24" t="s">
        <v>213</v>
      </c>
      <c r="Y48" s="25" t="s">
        <v>213</v>
      </c>
      <c r="Z48" s="25" t="s">
        <v>213</v>
      </c>
      <c r="AA48" s="25" t="s">
        <v>213</v>
      </c>
      <c r="AB48" s="22" t="s">
        <v>51</v>
      </c>
      <c r="AC48" s="22" t="s">
        <v>51</v>
      </c>
      <c r="AD48" s="22" t="s">
        <v>51</v>
      </c>
      <c r="AE48" s="23" t="s">
        <v>51</v>
      </c>
      <c r="AF48" s="23" t="s">
        <v>51</v>
      </c>
      <c r="AG48" s="23" t="s">
        <v>51</v>
      </c>
      <c r="AH48" s="24" t="s">
        <v>51</v>
      </c>
      <c r="AI48" s="27" t="s">
        <v>53</v>
      </c>
      <c r="AJ48" s="27" t="s">
        <v>54</v>
      </c>
      <c r="AK48" s="28" t="s">
        <v>433</v>
      </c>
      <c r="AL48" s="29" t="s">
        <v>434</v>
      </c>
      <c r="AM48" s="15">
        <v>64.0</v>
      </c>
      <c r="AN48" s="30" t="s">
        <v>57</v>
      </c>
      <c r="AO48" s="16" t="s">
        <v>59</v>
      </c>
      <c r="AP48" s="16" t="s">
        <v>83</v>
      </c>
      <c r="AQ48" s="30" t="s">
        <v>435</v>
      </c>
      <c r="AR48" s="30" t="s">
        <v>436</v>
      </c>
      <c r="AS48" s="16" t="s">
        <v>437</v>
      </c>
      <c r="AT48" s="15">
        <v>648.0</v>
      </c>
      <c r="AU48" s="33" t="s">
        <v>438</v>
      </c>
    </row>
    <row r="49" ht="56.25" customHeight="1">
      <c r="A49" s="15">
        <v>56.0</v>
      </c>
      <c r="B49" s="16" t="s">
        <v>439</v>
      </c>
      <c r="C49" s="27" t="str">
        <f>IMAGE("https://nh-cdn.catalogue.ac/MenuIcon/Ins45.png")</f>
        <v/>
      </c>
      <c r="D49" s="27" t="str">
        <f>IMAGE("https://nh-cdn.catalogue.ac/BookInsectIcon/InsectMiyamakuwagata.png")</f>
        <v/>
      </c>
      <c r="E49" s="18" t="str">
        <f>IMAGE("https://nh-cdn.catalogue.ac/FtrIcon/FtrInsectMiyamakuwagata.png")</f>
        <v/>
      </c>
      <c r="F49" s="15">
        <v>1000.0</v>
      </c>
      <c r="G49" s="16" t="s">
        <v>79</v>
      </c>
      <c r="H49" s="16" t="s">
        <v>66</v>
      </c>
      <c r="I49" s="20">
        <v>0.0</v>
      </c>
      <c r="J49" s="21" t="s">
        <v>366</v>
      </c>
      <c r="K49" s="22" t="s">
        <v>51</v>
      </c>
      <c r="L49" s="22" t="s">
        <v>51</v>
      </c>
      <c r="M49" s="23" t="s">
        <v>51</v>
      </c>
      <c r="N49" s="23" t="s">
        <v>51</v>
      </c>
      <c r="O49" s="23" t="s">
        <v>51</v>
      </c>
      <c r="P49" s="24" t="s">
        <v>51</v>
      </c>
      <c r="Q49" s="24" t="s">
        <v>68</v>
      </c>
      <c r="R49" s="24" t="s">
        <v>68</v>
      </c>
      <c r="S49" s="25" t="s">
        <v>51</v>
      </c>
      <c r="T49" s="25" t="s">
        <v>51</v>
      </c>
      <c r="U49" s="25" t="s">
        <v>51</v>
      </c>
      <c r="V49" s="22" t="s">
        <v>51</v>
      </c>
      <c r="W49" s="26" t="s">
        <v>68</v>
      </c>
      <c r="X49" s="24" t="s">
        <v>68</v>
      </c>
      <c r="Y49" s="25" t="s">
        <v>51</v>
      </c>
      <c r="Z49" s="25" t="s">
        <v>51</v>
      </c>
      <c r="AA49" s="25" t="s">
        <v>51</v>
      </c>
      <c r="AB49" s="22" t="s">
        <v>51</v>
      </c>
      <c r="AC49" s="22" t="s">
        <v>51</v>
      </c>
      <c r="AD49" s="22" t="s">
        <v>51</v>
      </c>
      <c r="AE49" s="23" t="s">
        <v>51</v>
      </c>
      <c r="AF49" s="23" t="s">
        <v>51</v>
      </c>
      <c r="AG49" s="23" t="s">
        <v>51</v>
      </c>
      <c r="AH49" s="24" t="s">
        <v>51</v>
      </c>
      <c r="AI49" s="27" t="s">
        <v>53</v>
      </c>
      <c r="AJ49" s="27" t="s">
        <v>54</v>
      </c>
      <c r="AK49" s="28" t="s">
        <v>440</v>
      </c>
      <c r="AL49" s="29" t="s">
        <v>441</v>
      </c>
      <c r="AM49" s="15">
        <v>64.0</v>
      </c>
      <c r="AN49" s="30" t="s">
        <v>57</v>
      </c>
      <c r="AO49" s="16" t="s">
        <v>72</v>
      </c>
      <c r="AP49" s="16" t="s">
        <v>72</v>
      </c>
      <c r="AQ49" s="32" t="s">
        <v>442</v>
      </c>
      <c r="AR49" s="30" t="s">
        <v>443</v>
      </c>
      <c r="AS49" s="16" t="s">
        <v>444</v>
      </c>
      <c r="AT49" s="15">
        <v>624.0</v>
      </c>
      <c r="AU49" s="33" t="s">
        <v>445</v>
      </c>
    </row>
    <row r="50" ht="56.25" customHeight="1">
      <c r="A50" s="15">
        <v>37.0</v>
      </c>
      <c r="B50" s="16" t="s">
        <v>446</v>
      </c>
      <c r="C50" s="27" t="str">
        <f>IMAGE("https://nh-cdn.catalogue.ac/MenuIcon/Ins33.png")</f>
        <v/>
      </c>
      <c r="D50" s="27" t="str">
        <f>IMAGE("https://nh-cdn.catalogue.ac/BookInsectIcon/InsectOkera.png")</f>
        <v/>
      </c>
      <c r="E50" s="18" t="str">
        <f>IMAGE("https://nh-cdn.catalogue.ac/FtrIcon/FtrInsectOkera.png")</f>
        <v/>
      </c>
      <c r="F50" s="15">
        <v>500.0</v>
      </c>
      <c r="G50" s="16" t="s">
        <v>447</v>
      </c>
      <c r="H50" s="16" t="s">
        <v>66</v>
      </c>
      <c r="I50" s="20">
        <v>0.0</v>
      </c>
      <c r="J50" s="21" t="s">
        <v>140</v>
      </c>
      <c r="K50" s="22" t="s">
        <v>68</v>
      </c>
      <c r="L50" s="22" t="s">
        <v>68</v>
      </c>
      <c r="M50" s="23" t="s">
        <v>68</v>
      </c>
      <c r="N50" s="23" t="s">
        <v>68</v>
      </c>
      <c r="O50" s="23" t="s">
        <v>68</v>
      </c>
      <c r="P50" s="24" t="s">
        <v>51</v>
      </c>
      <c r="Q50" s="24" t="s">
        <v>51</v>
      </c>
      <c r="R50" s="24" t="s">
        <v>51</v>
      </c>
      <c r="S50" s="25" t="s">
        <v>51</v>
      </c>
      <c r="T50" s="25" t="s">
        <v>51</v>
      </c>
      <c r="U50" s="25" t="s">
        <v>68</v>
      </c>
      <c r="V50" s="22" t="s">
        <v>68</v>
      </c>
      <c r="W50" s="26" t="s">
        <v>51</v>
      </c>
      <c r="X50" s="24" t="s">
        <v>51</v>
      </c>
      <c r="Y50" s="25" t="s">
        <v>51</v>
      </c>
      <c r="Z50" s="25" t="s">
        <v>51</v>
      </c>
      <c r="AA50" s="25" t="s">
        <v>68</v>
      </c>
      <c r="AB50" s="22" t="s">
        <v>68</v>
      </c>
      <c r="AC50" s="22" t="s">
        <v>68</v>
      </c>
      <c r="AD50" s="22" t="s">
        <v>68</v>
      </c>
      <c r="AE50" s="23" t="s">
        <v>68</v>
      </c>
      <c r="AF50" s="23" t="s">
        <v>68</v>
      </c>
      <c r="AG50" s="23" t="s">
        <v>68</v>
      </c>
      <c r="AH50" s="24" t="s">
        <v>51</v>
      </c>
      <c r="AI50" s="27" t="s">
        <v>53</v>
      </c>
      <c r="AJ50" s="27" t="s">
        <v>54</v>
      </c>
      <c r="AK50" s="28" t="s">
        <v>448</v>
      </c>
      <c r="AL50" s="29" t="s">
        <v>449</v>
      </c>
      <c r="AM50" s="15">
        <v>64.0</v>
      </c>
      <c r="AN50" s="30" t="s">
        <v>57</v>
      </c>
      <c r="AO50" s="16" t="s">
        <v>94</v>
      </c>
      <c r="AP50" s="16" t="s">
        <v>84</v>
      </c>
      <c r="AQ50" s="30" t="s">
        <v>450</v>
      </c>
      <c r="AR50" s="30" t="s">
        <v>451</v>
      </c>
      <c r="AS50" s="16" t="s">
        <v>452</v>
      </c>
      <c r="AT50" s="15">
        <v>634.0</v>
      </c>
      <c r="AU50" s="33" t="s">
        <v>453</v>
      </c>
    </row>
    <row r="51" ht="56.25" customHeight="1">
      <c r="A51" s="15">
        <v>8.0</v>
      </c>
      <c r="B51" s="16" t="s">
        <v>454</v>
      </c>
      <c r="C51" s="27" t="str">
        <f>IMAGE("https://nh-cdn.catalogue.ac/MenuIcon/Ins4.png")</f>
        <v/>
      </c>
      <c r="D51" s="27" t="str">
        <f>IMAGE("https://nh-cdn.catalogue.ac/BookInsectIcon/InsectOhkabamadara.png")</f>
        <v/>
      </c>
      <c r="E51" s="18" t="str">
        <f>IMAGE("https://nh-cdn.catalogue.ac/FtrIcon/FtrInsectOhkabamadara.png")</f>
        <v/>
      </c>
      <c r="F51" s="15">
        <v>140.0</v>
      </c>
      <c r="G51" s="19" t="s">
        <v>48</v>
      </c>
      <c r="H51" s="16" t="s">
        <v>49</v>
      </c>
      <c r="I51" s="20">
        <v>0.0</v>
      </c>
      <c r="J51" s="21" t="s">
        <v>131</v>
      </c>
      <c r="K51" s="22" t="s">
        <v>51</v>
      </c>
      <c r="L51" s="22" t="s">
        <v>51</v>
      </c>
      <c r="M51" s="23" t="s">
        <v>51</v>
      </c>
      <c r="N51" s="23" t="s">
        <v>51</v>
      </c>
      <c r="O51" s="23" t="s">
        <v>51</v>
      </c>
      <c r="P51" s="24" t="s">
        <v>51</v>
      </c>
      <c r="Q51" s="24" t="s">
        <v>51</v>
      </c>
      <c r="R51" s="24" t="s">
        <v>51</v>
      </c>
      <c r="S51" s="25" t="s">
        <v>455</v>
      </c>
      <c r="T51" s="25" t="s">
        <v>455</v>
      </c>
      <c r="U51" s="25" t="s">
        <v>455</v>
      </c>
      <c r="V51" s="22" t="s">
        <v>51</v>
      </c>
      <c r="W51" s="26" t="s">
        <v>51</v>
      </c>
      <c r="X51" s="24" t="s">
        <v>51</v>
      </c>
      <c r="Y51" s="25" t="s">
        <v>455</v>
      </c>
      <c r="Z51" s="25" t="s">
        <v>455</v>
      </c>
      <c r="AA51" s="25" t="s">
        <v>455</v>
      </c>
      <c r="AB51" s="22" t="s">
        <v>51</v>
      </c>
      <c r="AC51" s="22" t="s">
        <v>51</v>
      </c>
      <c r="AD51" s="22" t="s">
        <v>51</v>
      </c>
      <c r="AE51" s="23" t="s">
        <v>51</v>
      </c>
      <c r="AF51" s="23" t="s">
        <v>51</v>
      </c>
      <c r="AG51" s="23" t="s">
        <v>51</v>
      </c>
      <c r="AH51" s="24" t="s">
        <v>51</v>
      </c>
      <c r="AI51" s="27" t="s">
        <v>53</v>
      </c>
      <c r="AJ51" s="27" t="s">
        <v>54</v>
      </c>
      <c r="AK51" s="28" t="s">
        <v>456</v>
      </c>
      <c r="AL51" s="29" t="s">
        <v>457</v>
      </c>
      <c r="AM51" s="15">
        <v>64.0</v>
      </c>
      <c r="AN51" s="30" t="s">
        <v>57</v>
      </c>
      <c r="AO51" s="16" t="s">
        <v>83</v>
      </c>
      <c r="AP51" s="16" t="s">
        <v>95</v>
      </c>
      <c r="AQ51" s="30" t="s">
        <v>458</v>
      </c>
      <c r="AR51" s="30" t="s">
        <v>459</v>
      </c>
      <c r="AS51" s="16" t="s">
        <v>460</v>
      </c>
      <c r="AT51" s="15">
        <v>636.0</v>
      </c>
      <c r="AU51" s="33" t="s">
        <v>461</v>
      </c>
    </row>
    <row r="52" ht="56.25" customHeight="1">
      <c r="A52" s="15">
        <v>73.0</v>
      </c>
      <c r="B52" s="16" t="s">
        <v>462</v>
      </c>
      <c r="C52" s="27" t="str">
        <f>IMAGE("https://nh-cdn.catalogue.ac/MenuIcon/Ins58.png")</f>
        <v/>
      </c>
      <c r="D52" s="27" t="str">
        <f>IMAGE("https://nh-cdn.catalogue.ac/BookInsectIcon/InsectKa.png")</f>
        <v/>
      </c>
      <c r="E52" s="18" t="str">
        <f>IMAGE("https://nh-cdn.catalogue.ac/FtrIcon/FtrInsectKa.png")</f>
        <v/>
      </c>
      <c r="F52" s="15">
        <v>130.0</v>
      </c>
      <c r="G52" s="19" t="s">
        <v>167</v>
      </c>
      <c r="H52" s="16" t="s">
        <v>49</v>
      </c>
      <c r="I52" s="20">
        <v>0.0</v>
      </c>
      <c r="J52" s="21" t="s">
        <v>91</v>
      </c>
      <c r="K52" s="22" t="s">
        <v>51</v>
      </c>
      <c r="L52" s="22" t="s">
        <v>51</v>
      </c>
      <c r="M52" s="23" t="s">
        <v>51</v>
      </c>
      <c r="N52" s="23" t="s">
        <v>51</v>
      </c>
      <c r="O52" s="23" t="s">
        <v>51</v>
      </c>
      <c r="P52" s="24" t="s">
        <v>463</v>
      </c>
      <c r="Q52" s="24" t="s">
        <v>463</v>
      </c>
      <c r="R52" s="24" t="s">
        <v>463</v>
      </c>
      <c r="S52" s="25" t="s">
        <v>463</v>
      </c>
      <c r="T52" s="25" t="s">
        <v>51</v>
      </c>
      <c r="U52" s="25" t="s">
        <v>51</v>
      </c>
      <c r="V52" s="22" t="s">
        <v>51</v>
      </c>
      <c r="W52" s="26" t="s">
        <v>463</v>
      </c>
      <c r="X52" s="24" t="s">
        <v>463</v>
      </c>
      <c r="Y52" s="25" t="s">
        <v>463</v>
      </c>
      <c r="Z52" s="25" t="s">
        <v>51</v>
      </c>
      <c r="AA52" s="25" t="s">
        <v>51</v>
      </c>
      <c r="AB52" s="22" t="s">
        <v>51</v>
      </c>
      <c r="AC52" s="22" t="s">
        <v>51</v>
      </c>
      <c r="AD52" s="22" t="s">
        <v>51</v>
      </c>
      <c r="AE52" s="23" t="s">
        <v>51</v>
      </c>
      <c r="AF52" s="23" t="s">
        <v>51</v>
      </c>
      <c r="AG52" s="23" t="s">
        <v>51</v>
      </c>
      <c r="AH52" s="24" t="s">
        <v>463</v>
      </c>
      <c r="AI52" s="27" t="s">
        <v>53</v>
      </c>
      <c r="AJ52" s="27" t="s">
        <v>69</v>
      </c>
      <c r="AK52" s="28" t="s">
        <v>464</v>
      </c>
      <c r="AL52" s="29" t="s">
        <v>465</v>
      </c>
      <c r="AM52" s="15">
        <v>64.0</v>
      </c>
      <c r="AN52" s="30" t="s">
        <v>57</v>
      </c>
      <c r="AO52" s="16" t="s">
        <v>72</v>
      </c>
      <c r="AP52" s="16" t="s">
        <v>73</v>
      </c>
      <c r="AQ52" s="30" t="s">
        <v>466</v>
      </c>
      <c r="AR52" s="30" t="s">
        <v>467</v>
      </c>
      <c r="AS52" s="16" t="s">
        <v>468</v>
      </c>
      <c r="AT52" s="15">
        <v>606.0</v>
      </c>
      <c r="AU52" s="33" t="s">
        <v>469</v>
      </c>
    </row>
    <row r="53" ht="56.25" customHeight="1">
      <c r="A53" s="15">
        <v>13.0</v>
      </c>
      <c r="B53" s="16" t="s">
        <v>470</v>
      </c>
      <c r="C53" s="27" t="str">
        <f>IMAGE("https://nh-cdn.catalogue.ac/MenuIcon/Ins9.png")</f>
        <v/>
      </c>
      <c r="D53" s="27" t="str">
        <f>IMAGE("https://nh-cdn.catalogue.ac/BookInsectIcon/InsectGa.png")</f>
        <v/>
      </c>
      <c r="E53" s="18" t="str">
        <f>IMAGE("https://nh-cdn.catalogue.ac/FtrIcon/FtrInsectGa.png")</f>
        <v/>
      </c>
      <c r="F53" s="15">
        <v>130.0</v>
      </c>
      <c r="G53" s="16" t="s">
        <v>471</v>
      </c>
      <c r="H53" s="16" t="s">
        <v>49</v>
      </c>
      <c r="I53" s="20">
        <v>0.0</v>
      </c>
      <c r="J53" s="21" t="s">
        <v>344</v>
      </c>
      <c r="K53" s="22" t="s">
        <v>80</v>
      </c>
      <c r="L53" s="22" t="s">
        <v>80</v>
      </c>
      <c r="M53" s="23" t="s">
        <v>80</v>
      </c>
      <c r="N53" s="23" t="s">
        <v>80</v>
      </c>
      <c r="O53" s="23" t="s">
        <v>80</v>
      </c>
      <c r="P53" s="24" t="s">
        <v>80</v>
      </c>
      <c r="Q53" s="24" t="s">
        <v>80</v>
      </c>
      <c r="R53" s="24" t="s">
        <v>80</v>
      </c>
      <c r="S53" s="25" t="s">
        <v>80</v>
      </c>
      <c r="T53" s="25" t="s">
        <v>80</v>
      </c>
      <c r="U53" s="25" t="s">
        <v>80</v>
      </c>
      <c r="V53" s="22" t="s">
        <v>80</v>
      </c>
      <c r="W53" s="26" t="s">
        <v>80</v>
      </c>
      <c r="X53" s="24" t="s">
        <v>80</v>
      </c>
      <c r="Y53" s="25" t="s">
        <v>80</v>
      </c>
      <c r="Z53" s="25" t="s">
        <v>80</v>
      </c>
      <c r="AA53" s="25" t="s">
        <v>80</v>
      </c>
      <c r="AB53" s="22" t="s">
        <v>80</v>
      </c>
      <c r="AC53" s="22" t="s">
        <v>80</v>
      </c>
      <c r="AD53" s="22" t="s">
        <v>80</v>
      </c>
      <c r="AE53" s="23" t="s">
        <v>80</v>
      </c>
      <c r="AF53" s="23" t="s">
        <v>80</v>
      </c>
      <c r="AG53" s="23" t="s">
        <v>80</v>
      </c>
      <c r="AH53" s="24" t="s">
        <v>80</v>
      </c>
      <c r="AI53" s="27" t="s">
        <v>53</v>
      </c>
      <c r="AJ53" s="27" t="s">
        <v>69</v>
      </c>
      <c r="AK53" s="28" t="s">
        <v>472</v>
      </c>
      <c r="AL53" s="29" t="s">
        <v>473</v>
      </c>
      <c r="AM53" s="15">
        <v>64.0</v>
      </c>
      <c r="AN53" s="30" t="s">
        <v>57</v>
      </c>
      <c r="AO53" s="16" t="s">
        <v>115</v>
      </c>
      <c r="AP53" s="16" t="s">
        <v>84</v>
      </c>
      <c r="AQ53" s="30" t="s">
        <v>474</v>
      </c>
      <c r="AR53" s="30" t="s">
        <v>475</v>
      </c>
      <c r="AS53" s="16" t="s">
        <v>476</v>
      </c>
      <c r="AT53" s="15">
        <v>592.0</v>
      </c>
      <c r="AU53" s="33" t="s">
        <v>477</v>
      </c>
    </row>
    <row r="54" ht="56.25" customHeight="1">
      <c r="A54" s="15">
        <v>23.0</v>
      </c>
      <c r="B54" s="16" t="s">
        <v>478</v>
      </c>
      <c r="C54" s="27" t="str">
        <f>IMAGE("https://nh-cdn.catalogue.ac/MenuIcon/Ins16.png")</f>
        <v/>
      </c>
      <c r="D54" s="27" t="str">
        <f>IMAGE("https://nh-cdn.catalogue.ac/BookInsectIcon/InsectHanakamakiri.png")</f>
        <v/>
      </c>
      <c r="E54" s="18" t="str">
        <f>IMAGE("https://nh-cdn.catalogue.ac/FtrIcon/FtrInsectHanakamakiri.png")</f>
        <v/>
      </c>
      <c r="F54" s="15">
        <v>2400.0</v>
      </c>
      <c r="G54" s="19" t="s">
        <v>479</v>
      </c>
      <c r="H54" s="16" t="s">
        <v>49</v>
      </c>
      <c r="I54" s="20">
        <v>20.0</v>
      </c>
      <c r="J54" s="21" t="s">
        <v>480</v>
      </c>
      <c r="K54" s="22" t="s">
        <v>51</v>
      </c>
      <c r="L54" s="22" t="s">
        <v>51</v>
      </c>
      <c r="M54" s="23" t="s">
        <v>52</v>
      </c>
      <c r="N54" s="23" t="s">
        <v>52</v>
      </c>
      <c r="O54" s="23" t="s">
        <v>52</v>
      </c>
      <c r="P54" s="24" t="s">
        <v>52</v>
      </c>
      <c r="Q54" s="24" t="s">
        <v>52</v>
      </c>
      <c r="R54" s="24" t="s">
        <v>52</v>
      </c>
      <c r="S54" s="25" t="s">
        <v>52</v>
      </c>
      <c r="T54" s="25" t="s">
        <v>52</v>
      </c>
      <c r="U54" s="25" t="s">
        <v>52</v>
      </c>
      <c r="V54" s="22" t="s">
        <v>51</v>
      </c>
      <c r="W54" s="26" t="s">
        <v>52</v>
      </c>
      <c r="X54" s="24" t="s">
        <v>52</v>
      </c>
      <c r="Y54" s="25" t="s">
        <v>52</v>
      </c>
      <c r="Z54" s="25" t="s">
        <v>52</v>
      </c>
      <c r="AA54" s="25" t="s">
        <v>52</v>
      </c>
      <c r="AB54" s="22" t="s">
        <v>51</v>
      </c>
      <c r="AC54" s="22" t="s">
        <v>51</v>
      </c>
      <c r="AD54" s="22" t="s">
        <v>51</v>
      </c>
      <c r="AE54" s="23" t="s">
        <v>52</v>
      </c>
      <c r="AF54" s="23" t="s">
        <v>52</v>
      </c>
      <c r="AG54" s="23" t="s">
        <v>52</v>
      </c>
      <c r="AH54" s="24" t="s">
        <v>52</v>
      </c>
      <c r="AI54" s="27" t="s">
        <v>53</v>
      </c>
      <c r="AJ54" s="27" t="s">
        <v>54</v>
      </c>
      <c r="AK54" s="28" t="s">
        <v>481</v>
      </c>
      <c r="AL54" s="29" t="s">
        <v>482</v>
      </c>
      <c r="AM54" s="15">
        <v>64.0</v>
      </c>
      <c r="AN54" s="30" t="s">
        <v>57</v>
      </c>
      <c r="AO54" s="16" t="s">
        <v>73</v>
      </c>
      <c r="AP54" s="16" t="s">
        <v>58</v>
      </c>
      <c r="AQ54" s="30" t="s">
        <v>483</v>
      </c>
      <c r="AR54" s="30" t="s">
        <v>484</v>
      </c>
      <c r="AS54" s="16" t="s">
        <v>485</v>
      </c>
      <c r="AT54" s="15">
        <v>598.0</v>
      </c>
      <c r="AU54" s="33" t="s">
        <v>486</v>
      </c>
    </row>
    <row r="55" ht="56.25" customHeight="1">
      <c r="A55" s="15">
        <v>6.0</v>
      </c>
      <c r="B55" s="16" t="s">
        <v>487</v>
      </c>
      <c r="C55" s="27" t="str">
        <f>IMAGE("https://nh-cdn.catalogue.ac/MenuIcon/Ins73.png")</f>
        <v/>
      </c>
      <c r="D55" s="27" t="str">
        <f>IMAGE("https://nh-cdn.catalogue.ac/BookInsectIcon/InsectOhgomamadara.png")</f>
        <v/>
      </c>
      <c r="E55" s="18" t="str">
        <f>IMAGE("https://nh-cdn.catalogue.ac/FtrIcon/FtrInsectOhgomamadara.png")</f>
        <v/>
      </c>
      <c r="F55" s="15">
        <v>1000.0</v>
      </c>
      <c r="G55" s="19" t="s">
        <v>48</v>
      </c>
      <c r="H55" s="16" t="s">
        <v>49</v>
      </c>
      <c r="I55" s="20">
        <v>0.0</v>
      </c>
      <c r="J55" s="21" t="s">
        <v>418</v>
      </c>
      <c r="K55" s="22" t="s">
        <v>213</v>
      </c>
      <c r="L55" s="22" t="s">
        <v>213</v>
      </c>
      <c r="M55" s="23" t="s">
        <v>213</v>
      </c>
      <c r="N55" s="23" t="s">
        <v>213</v>
      </c>
      <c r="O55" s="23" t="s">
        <v>213</v>
      </c>
      <c r="P55" s="24" t="s">
        <v>213</v>
      </c>
      <c r="Q55" s="24" t="s">
        <v>213</v>
      </c>
      <c r="R55" s="24" t="s">
        <v>213</v>
      </c>
      <c r="S55" s="25" t="s">
        <v>213</v>
      </c>
      <c r="T55" s="25" t="s">
        <v>213</v>
      </c>
      <c r="U55" s="25" t="s">
        <v>213</v>
      </c>
      <c r="V55" s="22" t="s">
        <v>213</v>
      </c>
      <c r="W55" s="26" t="s">
        <v>213</v>
      </c>
      <c r="X55" s="24" t="s">
        <v>213</v>
      </c>
      <c r="Y55" s="25" t="s">
        <v>213</v>
      </c>
      <c r="Z55" s="25" t="s">
        <v>213</v>
      </c>
      <c r="AA55" s="25" t="s">
        <v>213</v>
      </c>
      <c r="AB55" s="22" t="s">
        <v>213</v>
      </c>
      <c r="AC55" s="22" t="s">
        <v>213</v>
      </c>
      <c r="AD55" s="22" t="s">
        <v>213</v>
      </c>
      <c r="AE55" s="23" t="s">
        <v>213</v>
      </c>
      <c r="AF55" s="23" t="s">
        <v>213</v>
      </c>
      <c r="AG55" s="23" t="s">
        <v>213</v>
      </c>
      <c r="AH55" s="24" t="s">
        <v>213</v>
      </c>
      <c r="AI55" s="27" t="s">
        <v>53</v>
      </c>
      <c r="AJ55" s="27" t="s">
        <v>54</v>
      </c>
      <c r="AK55" s="28" t="s">
        <v>488</v>
      </c>
      <c r="AL55" s="29" t="s">
        <v>489</v>
      </c>
      <c r="AM55" s="15">
        <v>64.0</v>
      </c>
      <c r="AN55" s="30" t="s">
        <v>57</v>
      </c>
      <c r="AO55" s="16" t="s">
        <v>73</v>
      </c>
      <c r="AP55" s="16" t="s">
        <v>84</v>
      </c>
      <c r="AQ55" s="30" t="s">
        <v>490</v>
      </c>
      <c r="AR55" s="30" t="s">
        <v>491</v>
      </c>
      <c r="AS55" s="16" t="s">
        <v>492</v>
      </c>
      <c r="AT55" s="15">
        <v>3478.0</v>
      </c>
      <c r="AU55" s="33" t="s">
        <v>493</v>
      </c>
    </row>
    <row r="56" ht="56.25" customHeight="1">
      <c r="A56" s="15">
        <v>4.0</v>
      </c>
      <c r="B56" s="16" t="s">
        <v>494</v>
      </c>
      <c r="C56" s="27" t="str">
        <f>IMAGE("https://nh-cdn.catalogue.ac/MenuIcon/Ins3.png")</f>
        <v/>
      </c>
      <c r="D56" s="27" t="str">
        <f>IMAGE("https://nh-cdn.catalogue.ac/BookInsectIcon/InsectKarasuageha.png")</f>
        <v/>
      </c>
      <c r="E56" s="18" t="str">
        <f>IMAGE("https://nh-cdn.catalogue.ac/FtrIcon/FtrInsectKarasuageha.png")</f>
        <v/>
      </c>
      <c r="F56" s="15">
        <v>2500.0</v>
      </c>
      <c r="G56" s="19" t="s">
        <v>495</v>
      </c>
      <c r="H56" s="16" t="s">
        <v>49</v>
      </c>
      <c r="I56" s="20">
        <v>20.0</v>
      </c>
      <c r="J56" s="21" t="s">
        <v>50</v>
      </c>
      <c r="K56" s="22" t="s">
        <v>51</v>
      </c>
      <c r="L56" s="22" t="s">
        <v>51</v>
      </c>
      <c r="M56" s="23" t="s">
        <v>168</v>
      </c>
      <c r="N56" s="23" t="s">
        <v>168</v>
      </c>
      <c r="O56" s="23" t="s">
        <v>168</v>
      </c>
      <c r="P56" s="24" t="s">
        <v>168</v>
      </c>
      <c r="Q56" s="24" t="s">
        <v>51</v>
      </c>
      <c r="R56" s="24" t="s">
        <v>51</v>
      </c>
      <c r="S56" s="25" t="s">
        <v>51</v>
      </c>
      <c r="T56" s="25" t="s">
        <v>51</v>
      </c>
      <c r="U56" s="25" t="s">
        <v>51</v>
      </c>
      <c r="V56" s="22" t="s">
        <v>51</v>
      </c>
      <c r="W56" s="26" t="s">
        <v>51</v>
      </c>
      <c r="X56" s="24" t="s">
        <v>51</v>
      </c>
      <c r="Y56" s="25" t="s">
        <v>51</v>
      </c>
      <c r="Z56" s="25" t="s">
        <v>51</v>
      </c>
      <c r="AA56" s="25" t="s">
        <v>51</v>
      </c>
      <c r="AB56" s="22" t="s">
        <v>51</v>
      </c>
      <c r="AC56" s="22" t="s">
        <v>51</v>
      </c>
      <c r="AD56" s="22" t="s">
        <v>51</v>
      </c>
      <c r="AE56" s="23" t="s">
        <v>168</v>
      </c>
      <c r="AF56" s="23" t="s">
        <v>168</v>
      </c>
      <c r="AG56" s="23" t="s">
        <v>168</v>
      </c>
      <c r="AH56" s="24" t="s">
        <v>168</v>
      </c>
      <c r="AI56" s="27" t="s">
        <v>53</v>
      </c>
      <c r="AJ56" s="27" t="s">
        <v>54</v>
      </c>
      <c r="AK56" s="28" t="s">
        <v>496</v>
      </c>
      <c r="AL56" s="29" t="s">
        <v>497</v>
      </c>
      <c r="AM56" s="15">
        <v>64.0</v>
      </c>
      <c r="AN56" s="30" t="s">
        <v>57</v>
      </c>
      <c r="AO56" s="16" t="s">
        <v>59</v>
      </c>
      <c r="AP56" s="16" t="s">
        <v>95</v>
      </c>
      <c r="AQ56" s="30" t="s">
        <v>498</v>
      </c>
      <c r="AR56" s="30" t="s">
        <v>499</v>
      </c>
      <c r="AS56" s="16" t="s">
        <v>500</v>
      </c>
      <c r="AT56" s="15">
        <v>610.0</v>
      </c>
      <c r="AU56" s="33" t="s">
        <v>501</v>
      </c>
    </row>
    <row r="57" ht="56.25" customHeight="1">
      <c r="A57" s="15">
        <v>76.0</v>
      </c>
      <c r="B57" s="16" t="s">
        <v>502</v>
      </c>
      <c r="C57" s="27" t="str">
        <f>IMAGE("https://nh-cdn.catalogue.ac/MenuIcon/Ins57.png")</f>
        <v/>
      </c>
      <c r="D57" s="27" t="str">
        <f>IMAGE("https://nh-cdn.catalogue.ac/BookInsectIcon/InsectDangomushi.png")</f>
        <v/>
      </c>
      <c r="E57" s="18" t="str">
        <f>IMAGE("https://nh-cdn.catalogue.ac/FtrIcon/FtrInsectDangomushi.png")</f>
        <v/>
      </c>
      <c r="F57" s="15">
        <v>250.0</v>
      </c>
      <c r="G57" s="16" t="s">
        <v>139</v>
      </c>
      <c r="H57" s="19" t="s">
        <v>66</v>
      </c>
      <c r="I57" s="20">
        <v>0.0</v>
      </c>
      <c r="J57" s="21" t="s">
        <v>91</v>
      </c>
      <c r="K57" s="22" t="s">
        <v>503</v>
      </c>
      <c r="L57" s="22" t="s">
        <v>503</v>
      </c>
      <c r="M57" s="23" t="s">
        <v>503</v>
      </c>
      <c r="N57" s="23" t="s">
        <v>503</v>
      </c>
      <c r="O57" s="23" t="s">
        <v>503</v>
      </c>
      <c r="P57" s="24" t="s">
        <v>503</v>
      </c>
      <c r="Q57" s="24" t="s">
        <v>51</v>
      </c>
      <c r="R57" s="24" t="s">
        <v>51</v>
      </c>
      <c r="S57" s="25" t="s">
        <v>503</v>
      </c>
      <c r="T57" s="25" t="s">
        <v>503</v>
      </c>
      <c r="U57" s="25" t="s">
        <v>503</v>
      </c>
      <c r="V57" s="22" t="s">
        <v>503</v>
      </c>
      <c r="W57" s="26" t="s">
        <v>51</v>
      </c>
      <c r="X57" s="24" t="s">
        <v>51</v>
      </c>
      <c r="Y57" s="25" t="s">
        <v>503</v>
      </c>
      <c r="Z57" s="25" t="s">
        <v>503</v>
      </c>
      <c r="AA57" s="25" t="s">
        <v>503</v>
      </c>
      <c r="AB57" s="22" t="s">
        <v>503</v>
      </c>
      <c r="AC57" s="22" t="s">
        <v>503</v>
      </c>
      <c r="AD57" s="22" t="s">
        <v>503</v>
      </c>
      <c r="AE57" s="23" t="s">
        <v>503</v>
      </c>
      <c r="AF57" s="23" t="s">
        <v>503</v>
      </c>
      <c r="AG57" s="23" t="s">
        <v>503</v>
      </c>
      <c r="AH57" s="24" t="s">
        <v>503</v>
      </c>
      <c r="AI57" s="27" t="s">
        <v>53</v>
      </c>
      <c r="AJ57" s="27" t="s">
        <v>69</v>
      </c>
      <c r="AK57" s="28" t="s">
        <v>504</v>
      </c>
      <c r="AL57" s="29" t="s">
        <v>505</v>
      </c>
      <c r="AM57" s="15">
        <v>64.0</v>
      </c>
      <c r="AN57" s="30" t="s">
        <v>57</v>
      </c>
      <c r="AO57" s="16" t="s">
        <v>72</v>
      </c>
      <c r="AP57" s="16" t="s">
        <v>95</v>
      </c>
      <c r="AQ57" s="30" t="s">
        <v>506</v>
      </c>
      <c r="AR57" s="30" t="s">
        <v>507</v>
      </c>
      <c r="AS57" s="16" t="s">
        <v>508</v>
      </c>
      <c r="AT57" s="15">
        <v>590.0</v>
      </c>
      <c r="AU57" s="33" t="s">
        <v>509</v>
      </c>
    </row>
    <row r="58" ht="56.25" customHeight="1">
      <c r="A58" s="15">
        <v>38.0</v>
      </c>
      <c r="B58" s="16" t="s">
        <v>510</v>
      </c>
      <c r="C58" s="27" t="str">
        <f>IMAGE("https://nh-cdn.catalogue.ac/MenuIcon/Ins27.png")</f>
        <v/>
      </c>
      <c r="D58" s="27" t="str">
        <f>IMAGE("https://nh-cdn.catalogue.ac/BookInsectIcon/InsectAmenbo.png")</f>
        <v/>
      </c>
      <c r="E58" s="18" t="str">
        <f>IMAGE("https://nh-cdn.catalogue.ac/FtrIcon/FtrInsectAmenbo.png")</f>
        <v/>
      </c>
      <c r="F58" s="15">
        <v>130.0</v>
      </c>
      <c r="G58" s="19" t="s">
        <v>212</v>
      </c>
      <c r="H58" s="19" t="s">
        <v>66</v>
      </c>
      <c r="I58" s="20">
        <v>0.0</v>
      </c>
      <c r="J58" s="21" t="s">
        <v>140</v>
      </c>
      <c r="K58" s="22" t="s">
        <v>51</v>
      </c>
      <c r="L58" s="22" t="s">
        <v>51</v>
      </c>
      <c r="M58" s="23" t="s">
        <v>51</v>
      </c>
      <c r="N58" s="23" t="s">
        <v>51</v>
      </c>
      <c r="O58" s="23" t="s">
        <v>213</v>
      </c>
      <c r="P58" s="24" t="s">
        <v>213</v>
      </c>
      <c r="Q58" s="24" t="s">
        <v>213</v>
      </c>
      <c r="R58" s="24" t="s">
        <v>213</v>
      </c>
      <c r="S58" s="25" t="s">
        <v>213</v>
      </c>
      <c r="T58" s="25" t="s">
        <v>51</v>
      </c>
      <c r="U58" s="25" t="s">
        <v>51</v>
      </c>
      <c r="V58" s="22" t="s">
        <v>51</v>
      </c>
      <c r="W58" s="26" t="s">
        <v>213</v>
      </c>
      <c r="X58" s="24" t="s">
        <v>213</v>
      </c>
      <c r="Y58" s="25" t="s">
        <v>213</v>
      </c>
      <c r="Z58" s="25" t="s">
        <v>51</v>
      </c>
      <c r="AA58" s="25" t="s">
        <v>51</v>
      </c>
      <c r="AB58" s="22" t="s">
        <v>51</v>
      </c>
      <c r="AC58" s="22" t="s">
        <v>51</v>
      </c>
      <c r="AD58" s="22" t="s">
        <v>51</v>
      </c>
      <c r="AE58" s="23" t="s">
        <v>51</v>
      </c>
      <c r="AF58" s="23" t="s">
        <v>51</v>
      </c>
      <c r="AG58" s="23" t="s">
        <v>213</v>
      </c>
      <c r="AH58" s="24" t="s">
        <v>213</v>
      </c>
      <c r="AI58" s="27" t="s">
        <v>53</v>
      </c>
      <c r="AJ58" s="27" t="s">
        <v>69</v>
      </c>
      <c r="AK58" s="28" t="s">
        <v>511</v>
      </c>
      <c r="AL58" s="29" t="s">
        <v>512</v>
      </c>
      <c r="AM58" s="15">
        <v>64.0</v>
      </c>
      <c r="AN58" s="30" t="s">
        <v>57</v>
      </c>
      <c r="AO58" s="16" t="s">
        <v>72</v>
      </c>
      <c r="AP58" s="16" t="s">
        <v>95</v>
      </c>
      <c r="AQ58" s="30" t="s">
        <v>513</v>
      </c>
      <c r="AR58" s="30" t="s">
        <v>514</v>
      </c>
      <c r="AS58" s="16" t="s">
        <v>515</v>
      </c>
      <c r="AT58" s="15">
        <v>587.0</v>
      </c>
      <c r="AU58" s="33" t="s">
        <v>516</v>
      </c>
    </row>
    <row r="59" ht="56.25" customHeight="1">
      <c r="A59" s="15">
        <v>12.0</v>
      </c>
      <c r="B59" s="16" t="s">
        <v>517</v>
      </c>
      <c r="C59" s="27" t="str">
        <f>IMAGE("https://nh-cdn.catalogue.ac/MenuIcon/Ins8.png")</f>
        <v/>
      </c>
      <c r="D59" s="27" t="str">
        <f>IMAGE("https://nh-cdn.catalogue.ac/BookInsectIcon/InsectArekisandoratoribaneageha.png")</f>
        <v/>
      </c>
      <c r="E59" s="18" t="str">
        <f>IMAGE("https://nh-cdn.catalogue.ac/FtrIcon/FtrInsectArekisandoratoribaneageha.png")</f>
        <v/>
      </c>
      <c r="F59" s="15">
        <v>4000.0</v>
      </c>
      <c r="G59" s="19" t="s">
        <v>48</v>
      </c>
      <c r="H59" s="16" t="s">
        <v>49</v>
      </c>
      <c r="I59" s="20">
        <v>50.0</v>
      </c>
      <c r="J59" s="21" t="s">
        <v>50</v>
      </c>
      <c r="K59" s="22" t="s">
        <v>51</v>
      </c>
      <c r="L59" s="22" t="s">
        <v>51</v>
      </c>
      <c r="M59" s="23" t="s">
        <v>51</v>
      </c>
      <c r="N59" s="23" t="s">
        <v>51</v>
      </c>
      <c r="O59" s="23" t="s">
        <v>410</v>
      </c>
      <c r="P59" s="24" t="s">
        <v>410</v>
      </c>
      <c r="Q59" s="24" t="s">
        <v>410</v>
      </c>
      <c r="R59" s="24" t="s">
        <v>410</v>
      </c>
      <c r="S59" s="25" t="s">
        <v>410</v>
      </c>
      <c r="T59" s="25" t="s">
        <v>51</v>
      </c>
      <c r="U59" s="25" t="s">
        <v>51</v>
      </c>
      <c r="V59" s="22" t="s">
        <v>51</v>
      </c>
      <c r="W59" s="26" t="s">
        <v>410</v>
      </c>
      <c r="X59" s="24" t="s">
        <v>410</v>
      </c>
      <c r="Y59" s="25" t="s">
        <v>410</v>
      </c>
      <c r="Z59" s="25" t="s">
        <v>51</v>
      </c>
      <c r="AA59" s="25" t="s">
        <v>51</v>
      </c>
      <c r="AB59" s="22" t="s">
        <v>51</v>
      </c>
      <c r="AC59" s="22" t="s">
        <v>51</v>
      </c>
      <c r="AD59" s="22" t="s">
        <v>51</v>
      </c>
      <c r="AE59" s="23" t="s">
        <v>51</v>
      </c>
      <c r="AF59" s="23" t="s">
        <v>51</v>
      </c>
      <c r="AG59" s="23" t="s">
        <v>410</v>
      </c>
      <c r="AH59" s="24" t="s">
        <v>410</v>
      </c>
      <c r="AI59" s="27" t="s">
        <v>53</v>
      </c>
      <c r="AJ59" s="27" t="s">
        <v>54</v>
      </c>
      <c r="AK59" s="28" t="s">
        <v>518</v>
      </c>
      <c r="AL59" s="29" t="s">
        <v>519</v>
      </c>
      <c r="AM59" s="15">
        <v>64.0</v>
      </c>
      <c r="AN59" s="30" t="s">
        <v>57</v>
      </c>
      <c r="AO59" s="16" t="s">
        <v>59</v>
      </c>
      <c r="AP59" s="16" t="s">
        <v>58</v>
      </c>
      <c r="AQ59" s="30" t="s">
        <v>520</v>
      </c>
      <c r="AR59" s="30" t="s">
        <v>521</v>
      </c>
      <c r="AS59" s="16" t="s">
        <v>522</v>
      </c>
      <c r="AT59" s="15">
        <v>586.0</v>
      </c>
      <c r="AU59" s="33" t="s">
        <v>523</v>
      </c>
    </row>
    <row r="60" ht="56.25" customHeight="1">
      <c r="A60" s="15">
        <v>58.0</v>
      </c>
      <c r="B60" s="16" t="s">
        <v>524</v>
      </c>
      <c r="C60" s="27" t="str">
        <f>IMAGE("https://nh-cdn.catalogue.ac/MenuIcon/Ins48.png")</f>
        <v/>
      </c>
      <c r="D60" s="27" t="str">
        <f>IMAGE("https://nh-cdn.catalogue.ac/BookInsectIcon/InsectNijiirokuwagata.png")</f>
        <v/>
      </c>
      <c r="E60" s="18" t="str">
        <f>IMAGE("https://nh-cdn.catalogue.ac/FtrIcon/FtrInsectNijiirokuwagata.png")</f>
        <v/>
      </c>
      <c r="F60" s="15">
        <v>6000.0</v>
      </c>
      <c r="G60" s="19" t="s">
        <v>79</v>
      </c>
      <c r="H60" s="19" t="s">
        <v>66</v>
      </c>
      <c r="I60" s="20">
        <v>50.0</v>
      </c>
      <c r="J60" s="21" t="s">
        <v>102</v>
      </c>
      <c r="K60" s="22" t="s">
        <v>51</v>
      </c>
      <c r="L60" s="22" t="s">
        <v>51</v>
      </c>
      <c r="M60" s="23" t="s">
        <v>51</v>
      </c>
      <c r="N60" s="23" t="s">
        <v>51</v>
      </c>
      <c r="O60" s="23" t="s">
        <v>51</v>
      </c>
      <c r="P60" s="24" t="s">
        <v>299</v>
      </c>
      <c r="Q60" s="24" t="s">
        <v>299</v>
      </c>
      <c r="R60" s="24" t="s">
        <v>299</v>
      </c>
      <c r="S60" s="25" t="s">
        <v>299</v>
      </c>
      <c r="T60" s="25" t="s">
        <v>51</v>
      </c>
      <c r="U60" s="25" t="s">
        <v>51</v>
      </c>
      <c r="V60" s="22" t="s">
        <v>51</v>
      </c>
      <c r="W60" s="26" t="s">
        <v>299</v>
      </c>
      <c r="X60" s="24" t="s">
        <v>299</v>
      </c>
      <c r="Y60" s="25" t="s">
        <v>299</v>
      </c>
      <c r="Z60" s="25" t="s">
        <v>51</v>
      </c>
      <c r="AA60" s="25" t="s">
        <v>51</v>
      </c>
      <c r="AB60" s="22" t="s">
        <v>51</v>
      </c>
      <c r="AC60" s="22" t="s">
        <v>51</v>
      </c>
      <c r="AD60" s="22" t="s">
        <v>51</v>
      </c>
      <c r="AE60" s="23" t="s">
        <v>51</v>
      </c>
      <c r="AF60" s="23" t="s">
        <v>51</v>
      </c>
      <c r="AG60" s="23" t="s">
        <v>51</v>
      </c>
      <c r="AH60" s="24" t="s">
        <v>299</v>
      </c>
      <c r="AI60" s="27" t="s">
        <v>53</v>
      </c>
      <c r="AJ60" s="27" t="s">
        <v>54</v>
      </c>
      <c r="AK60" s="28" t="s">
        <v>525</v>
      </c>
      <c r="AL60" s="29" t="s">
        <v>526</v>
      </c>
      <c r="AM60" s="15">
        <v>64.0</v>
      </c>
      <c r="AN60" s="30" t="s">
        <v>57</v>
      </c>
      <c r="AO60" s="16" t="s">
        <v>94</v>
      </c>
      <c r="AP60" s="16" t="s">
        <v>72</v>
      </c>
      <c r="AQ60" s="30" t="s">
        <v>527</v>
      </c>
      <c r="AR60" s="30" t="s">
        <v>528</v>
      </c>
      <c r="AS60" s="16" t="s">
        <v>529</v>
      </c>
      <c r="AT60" s="15">
        <v>631.0</v>
      </c>
      <c r="AU60" s="33" t="s">
        <v>530</v>
      </c>
    </row>
    <row r="61" ht="56.25" customHeight="1">
      <c r="A61" s="15">
        <v>11.0</v>
      </c>
      <c r="B61" s="16" t="s">
        <v>531</v>
      </c>
      <c r="C61" s="27" t="str">
        <f>IMAGE("https://nh-cdn.catalogue.ac/MenuIcon/Ins7.png")</f>
        <v/>
      </c>
      <c r="D61" s="27" t="str">
        <f>IMAGE("https://nh-cdn.catalogue.ac/BookInsectIcon/InsectAkaeritoribaneageha.png")</f>
        <v/>
      </c>
      <c r="E61" s="18" t="str">
        <f>IMAGE("https://nh-cdn.catalogue.ac/FtrIcon/FtrInsectAkaeritoribaneageha.png")</f>
        <v/>
      </c>
      <c r="F61" s="15">
        <v>2500.0</v>
      </c>
      <c r="G61" s="19" t="s">
        <v>48</v>
      </c>
      <c r="H61" s="16" t="s">
        <v>49</v>
      </c>
      <c r="I61" s="20">
        <v>20.0</v>
      </c>
      <c r="J61" s="21" t="s">
        <v>50</v>
      </c>
      <c r="K61" s="22" t="s">
        <v>52</v>
      </c>
      <c r="L61" s="22" t="s">
        <v>52</v>
      </c>
      <c r="M61" s="23" t="s">
        <v>51</v>
      </c>
      <c r="N61" s="23" t="s">
        <v>52</v>
      </c>
      <c r="O61" s="23" t="s">
        <v>52</v>
      </c>
      <c r="P61" s="24" t="s">
        <v>52</v>
      </c>
      <c r="Q61" s="24" t="s">
        <v>52</v>
      </c>
      <c r="R61" s="24" t="s">
        <v>52</v>
      </c>
      <c r="S61" s="25" t="s">
        <v>52</v>
      </c>
      <c r="T61" s="25" t="s">
        <v>51</v>
      </c>
      <c r="U61" s="25" t="s">
        <v>51</v>
      </c>
      <c r="V61" s="22" t="s">
        <v>52</v>
      </c>
      <c r="W61" s="26" t="s">
        <v>52</v>
      </c>
      <c r="X61" s="24" t="s">
        <v>52</v>
      </c>
      <c r="Y61" s="25" t="s">
        <v>52</v>
      </c>
      <c r="Z61" s="25" t="s">
        <v>51</v>
      </c>
      <c r="AA61" s="25" t="s">
        <v>51</v>
      </c>
      <c r="AB61" s="22" t="s">
        <v>52</v>
      </c>
      <c r="AC61" s="22" t="s">
        <v>52</v>
      </c>
      <c r="AD61" s="22" t="s">
        <v>52</v>
      </c>
      <c r="AE61" s="23" t="s">
        <v>51</v>
      </c>
      <c r="AF61" s="23" t="s">
        <v>52</v>
      </c>
      <c r="AG61" s="23" t="s">
        <v>52</v>
      </c>
      <c r="AH61" s="24" t="s">
        <v>52</v>
      </c>
      <c r="AI61" s="27" t="s">
        <v>53</v>
      </c>
      <c r="AJ61" s="27" t="s">
        <v>54</v>
      </c>
      <c r="AK61" s="28" t="s">
        <v>532</v>
      </c>
      <c r="AL61" s="29" t="s">
        <v>533</v>
      </c>
      <c r="AM61" s="15">
        <v>64.0</v>
      </c>
      <c r="AN61" s="30" t="s">
        <v>57</v>
      </c>
      <c r="AO61" s="16" t="s">
        <v>59</v>
      </c>
      <c r="AP61" s="16" t="s">
        <v>58</v>
      </c>
      <c r="AQ61" s="30" t="s">
        <v>534</v>
      </c>
      <c r="AR61" s="30" t="s">
        <v>535</v>
      </c>
      <c r="AS61" s="16" t="s">
        <v>536</v>
      </c>
      <c r="AT61" s="15">
        <v>584.0</v>
      </c>
      <c r="AU61" s="33" t="s">
        <v>537</v>
      </c>
    </row>
    <row r="62" ht="56.25" customHeight="1">
      <c r="A62" s="15">
        <v>32.0</v>
      </c>
      <c r="B62" s="16" t="s">
        <v>538</v>
      </c>
      <c r="C62" s="27" t="str">
        <f>IMAGE("https://nh-cdn.catalogue.ac/MenuIcon/Ins22.png")</f>
        <v/>
      </c>
      <c r="D62" s="27" t="str">
        <f>IMAGE("https://nh-cdn.catalogue.ac/BookInsectIcon/InsectAkiakane.png")</f>
        <v/>
      </c>
      <c r="E62" s="18" t="str">
        <f>IMAGE("https://nh-cdn.catalogue.ac/FtrIcon/FtrInsectAkiakane.png")</f>
        <v/>
      </c>
      <c r="F62" s="15">
        <v>180.0</v>
      </c>
      <c r="G62" s="32" t="s">
        <v>101</v>
      </c>
      <c r="H62" s="16" t="s">
        <v>49</v>
      </c>
      <c r="I62" s="20">
        <v>0.0</v>
      </c>
      <c r="J62" s="21" t="s">
        <v>539</v>
      </c>
      <c r="K62" s="22" t="s">
        <v>51</v>
      </c>
      <c r="L62" s="22" t="s">
        <v>51</v>
      </c>
      <c r="M62" s="23" t="s">
        <v>51</v>
      </c>
      <c r="N62" s="23" t="s">
        <v>51</v>
      </c>
      <c r="O62" s="23" t="s">
        <v>51</v>
      </c>
      <c r="P62" s="24" t="s">
        <v>51</v>
      </c>
      <c r="Q62" s="24" t="s">
        <v>51</v>
      </c>
      <c r="R62" s="24" t="s">
        <v>51</v>
      </c>
      <c r="S62" s="25" t="s">
        <v>213</v>
      </c>
      <c r="T62" s="25" t="s">
        <v>213</v>
      </c>
      <c r="U62" s="25" t="s">
        <v>51</v>
      </c>
      <c r="V62" s="22" t="s">
        <v>51</v>
      </c>
      <c r="W62" s="26" t="s">
        <v>51</v>
      </c>
      <c r="X62" s="24" t="s">
        <v>51</v>
      </c>
      <c r="Y62" s="25" t="s">
        <v>213</v>
      </c>
      <c r="Z62" s="25" t="s">
        <v>213</v>
      </c>
      <c r="AA62" s="25" t="s">
        <v>51</v>
      </c>
      <c r="AB62" s="22" t="s">
        <v>51</v>
      </c>
      <c r="AC62" s="22" t="s">
        <v>51</v>
      </c>
      <c r="AD62" s="22" t="s">
        <v>51</v>
      </c>
      <c r="AE62" s="23" t="s">
        <v>51</v>
      </c>
      <c r="AF62" s="23" t="s">
        <v>51</v>
      </c>
      <c r="AG62" s="23" t="s">
        <v>51</v>
      </c>
      <c r="AH62" s="24" t="s">
        <v>51</v>
      </c>
      <c r="AI62" s="27" t="s">
        <v>53</v>
      </c>
      <c r="AJ62" s="27" t="s">
        <v>54</v>
      </c>
      <c r="AK62" s="28" t="s">
        <v>540</v>
      </c>
      <c r="AL62" s="29" t="s">
        <v>541</v>
      </c>
      <c r="AM62" s="15">
        <v>64.0</v>
      </c>
      <c r="AN62" s="30" t="s">
        <v>57</v>
      </c>
      <c r="AO62" s="16" t="s">
        <v>323</v>
      </c>
      <c r="AP62" s="16" t="s">
        <v>83</v>
      </c>
      <c r="AQ62" s="30" t="s">
        <v>542</v>
      </c>
      <c r="AR62" s="30" t="s">
        <v>543</v>
      </c>
      <c r="AS62" s="16" t="s">
        <v>544</v>
      </c>
      <c r="AT62" s="15">
        <v>585.0</v>
      </c>
      <c r="AU62" s="33" t="s">
        <v>545</v>
      </c>
    </row>
    <row r="63" ht="56.25" customHeight="1">
      <c r="A63" s="15">
        <v>18.0</v>
      </c>
      <c r="B63" s="16" t="s">
        <v>546</v>
      </c>
      <c r="C63" s="27" t="str">
        <f>IMAGE("https://nh-cdn.catalogue.ac/MenuIcon/Ins67.png")</f>
        <v/>
      </c>
      <c r="D63" s="27" t="str">
        <f>IMAGE("https://nh-cdn.catalogue.ac/BookInsectIcon/InsectInago.png")</f>
        <v/>
      </c>
      <c r="E63" s="18" t="str">
        <f>IMAGE("https://nh-cdn.catalogue.ac/FtrIcon/FtrInsectInago.png")</f>
        <v/>
      </c>
      <c r="F63" s="15">
        <v>400.0</v>
      </c>
      <c r="G63" s="19" t="s">
        <v>110</v>
      </c>
      <c r="H63" s="19" t="s">
        <v>66</v>
      </c>
      <c r="I63" s="20">
        <v>0.0</v>
      </c>
      <c r="J63" s="21" t="s">
        <v>418</v>
      </c>
      <c r="K63" s="22" t="s">
        <v>51</v>
      </c>
      <c r="L63" s="22" t="s">
        <v>51</v>
      </c>
      <c r="M63" s="23" t="s">
        <v>51</v>
      </c>
      <c r="N63" s="23" t="s">
        <v>51</v>
      </c>
      <c r="O63" s="23" t="s">
        <v>51</v>
      </c>
      <c r="P63" s="24" t="s">
        <v>51</v>
      </c>
      <c r="Q63" s="24" t="s">
        <v>51</v>
      </c>
      <c r="R63" s="24" t="s">
        <v>213</v>
      </c>
      <c r="S63" s="25" t="s">
        <v>213</v>
      </c>
      <c r="T63" s="25" t="s">
        <v>213</v>
      </c>
      <c r="U63" s="25" t="s">
        <v>213</v>
      </c>
      <c r="V63" s="22" t="s">
        <v>51</v>
      </c>
      <c r="W63" s="26" t="s">
        <v>51</v>
      </c>
      <c r="X63" s="24" t="s">
        <v>213</v>
      </c>
      <c r="Y63" s="25" t="s">
        <v>213</v>
      </c>
      <c r="Z63" s="25" t="s">
        <v>213</v>
      </c>
      <c r="AA63" s="25" t="s">
        <v>213</v>
      </c>
      <c r="AB63" s="22" t="s">
        <v>51</v>
      </c>
      <c r="AC63" s="22" t="s">
        <v>51</v>
      </c>
      <c r="AD63" s="22" t="s">
        <v>51</v>
      </c>
      <c r="AE63" s="23" t="s">
        <v>51</v>
      </c>
      <c r="AF63" s="23" t="s">
        <v>51</v>
      </c>
      <c r="AG63" s="23" t="s">
        <v>51</v>
      </c>
      <c r="AH63" s="24" t="s">
        <v>51</v>
      </c>
      <c r="AI63" s="27" t="s">
        <v>53</v>
      </c>
      <c r="AJ63" s="27" t="s">
        <v>69</v>
      </c>
      <c r="AK63" s="28" t="s">
        <v>547</v>
      </c>
      <c r="AL63" s="29" t="s">
        <v>548</v>
      </c>
      <c r="AM63" s="15">
        <v>64.0</v>
      </c>
      <c r="AN63" s="30" t="s">
        <v>57</v>
      </c>
      <c r="AO63" s="16" t="s">
        <v>59</v>
      </c>
      <c r="AP63" s="16" t="s">
        <v>84</v>
      </c>
      <c r="AQ63" s="30" t="s">
        <v>549</v>
      </c>
      <c r="AR63" s="30" t="s">
        <v>550</v>
      </c>
      <c r="AS63" s="16" t="s">
        <v>551</v>
      </c>
      <c r="AT63" s="15">
        <v>605.0</v>
      </c>
      <c r="AU63" s="33" t="s">
        <v>552</v>
      </c>
    </row>
    <row r="64" ht="56.25" customHeight="1">
      <c r="A64" s="15">
        <v>27.0</v>
      </c>
      <c r="B64" s="16" t="s">
        <v>553</v>
      </c>
      <c r="C64" s="27" t="str">
        <f>IMAGE("https://nh-cdn.catalogue.ac/MenuIcon/Ins18.png")</f>
        <v/>
      </c>
      <c r="D64" s="27" t="str">
        <f>IMAGE("https://nh-cdn.catalogue.ac/BookInsectIcon/InsectMinminzemi.png")</f>
        <v/>
      </c>
      <c r="E64" s="18" t="str">
        <f>IMAGE("https://nh-cdn.catalogue.ac/FtrIcon/FtrInsectMinminzemi.png")</f>
        <v/>
      </c>
      <c r="F64" s="15">
        <v>300.0</v>
      </c>
      <c r="G64" s="19" t="s">
        <v>130</v>
      </c>
      <c r="H64" s="19" t="s">
        <v>66</v>
      </c>
      <c r="I64" s="20">
        <v>0.0</v>
      </c>
      <c r="J64" s="21" t="s">
        <v>131</v>
      </c>
      <c r="K64" s="22" t="s">
        <v>51</v>
      </c>
      <c r="L64" s="22" t="s">
        <v>51</v>
      </c>
      <c r="M64" s="23" t="s">
        <v>51</v>
      </c>
      <c r="N64" s="23" t="s">
        <v>51</v>
      </c>
      <c r="O64" s="23" t="s">
        <v>51</v>
      </c>
      <c r="P64" s="24" t="s">
        <v>51</v>
      </c>
      <c r="Q64" s="24" t="s">
        <v>52</v>
      </c>
      <c r="R64" s="24" t="s">
        <v>52</v>
      </c>
      <c r="S64" s="25" t="s">
        <v>51</v>
      </c>
      <c r="T64" s="25" t="s">
        <v>51</v>
      </c>
      <c r="U64" s="25" t="s">
        <v>51</v>
      </c>
      <c r="V64" s="22" t="s">
        <v>51</v>
      </c>
      <c r="W64" s="26" t="s">
        <v>52</v>
      </c>
      <c r="X64" s="24" t="s">
        <v>52</v>
      </c>
      <c r="Y64" s="25" t="s">
        <v>51</v>
      </c>
      <c r="Z64" s="25" t="s">
        <v>51</v>
      </c>
      <c r="AA64" s="25" t="s">
        <v>51</v>
      </c>
      <c r="AB64" s="22" t="s">
        <v>51</v>
      </c>
      <c r="AC64" s="22" t="s">
        <v>51</v>
      </c>
      <c r="AD64" s="22" t="s">
        <v>51</v>
      </c>
      <c r="AE64" s="23" t="s">
        <v>51</v>
      </c>
      <c r="AF64" s="23" t="s">
        <v>51</v>
      </c>
      <c r="AG64" s="23" t="s">
        <v>51</v>
      </c>
      <c r="AH64" s="24" t="s">
        <v>51</v>
      </c>
      <c r="AI64" s="27" t="s">
        <v>53</v>
      </c>
      <c r="AJ64" s="27" t="s">
        <v>54</v>
      </c>
      <c r="AK64" s="28" t="s">
        <v>554</v>
      </c>
      <c r="AL64" s="29" t="s">
        <v>555</v>
      </c>
      <c r="AM64" s="15">
        <v>64.0</v>
      </c>
      <c r="AN64" s="30" t="s">
        <v>57</v>
      </c>
      <c r="AO64" s="16" t="s">
        <v>72</v>
      </c>
      <c r="AP64" s="16" t="s">
        <v>95</v>
      </c>
      <c r="AQ64" s="30" t="s">
        <v>556</v>
      </c>
      <c r="AR64" s="30" t="s">
        <v>557</v>
      </c>
      <c r="AS64" s="16" t="s">
        <v>558</v>
      </c>
      <c r="AT64" s="15">
        <v>621.0</v>
      </c>
      <c r="AU64" s="33" t="s">
        <v>559</v>
      </c>
    </row>
    <row r="65" ht="56.25" customHeight="1">
      <c r="A65" s="15">
        <v>48.0</v>
      </c>
      <c r="B65" s="16" t="s">
        <v>560</v>
      </c>
      <c r="C65" s="27" t="str">
        <f>IMAGE("https://nh-cdn.catalogue.ac/MenuIcon/Ins82.png")</f>
        <v/>
      </c>
      <c r="D65" s="27" t="str">
        <f>IMAGE("https://nh-cdn.catalogue.ac/BookInsectIcon/InsectRuriboshikamikiri.png")</f>
        <v/>
      </c>
      <c r="E65" s="18" t="str">
        <f>IMAGE("https://nh-cdn.catalogue.ac/FtrIcon/FtrInsectRuriboshikamikiri.png")</f>
        <v/>
      </c>
      <c r="F65" s="15">
        <v>3000.0</v>
      </c>
      <c r="G65" s="16" t="s">
        <v>158</v>
      </c>
      <c r="H65" s="16" t="s">
        <v>49</v>
      </c>
      <c r="I65" s="20">
        <v>20.0</v>
      </c>
      <c r="J65" s="21" t="s">
        <v>122</v>
      </c>
      <c r="K65" s="22" t="s">
        <v>51</v>
      </c>
      <c r="L65" s="22" t="s">
        <v>51</v>
      </c>
      <c r="M65" s="23" t="s">
        <v>51</v>
      </c>
      <c r="N65" s="23" t="s">
        <v>51</v>
      </c>
      <c r="O65" s="23" t="s">
        <v>68</v>
      </c>
      <c r="P65" s="24" t="s">
        <v>68</v>
      </c>
      <c r="Q65" s="24" t="s">
        <v>68</v>
      </c>
      <c r="R65" s="24" t="s">
        <v>68</v>
      </c>
      <c r="S65" s="25" t="s">
        <v>68</v>
      </c>
      <c r="T65" s="25" t="s">
        <v>51</v>
      </c>
      <c r="U65" s="25" t="s">
        <v>51</v>
      </c>
      <c r="V65" s="22" t="s">
        <v>51</v>
      </c>
      <c r="W65" s="26" t="s">
        <v>68</v>
      </c>
      <c r="X65" s="24" t="s">
        <v>68</v>
      </c>
      <c r="Y65" s="25" t="s">
        <v>68</v>
      </c>
      <c r="Z65" s="25" t="s">
        <v>51</v>
      </c>
      <c r="AA65" s="25" t="s">
        <v>51</v>
      </c>
      <c r="AB65" s="22" t="s">
        <v>51</v>
      </c>
      <c r="AC65" s="22" t="s">
        <v>51</v>
      </c>
      <c r="AD65" s="22" t="s">
        <v>51</v>
      </c>
      <c r="AE65" s="23" t="s">
        <v>51</v>
      </c>
      <c r="AF65" s="23" t="s">
        <v>51</v>
      </c>
      <c r="AG65" s="23" t="s">
        <v>68</v>
      </c>
      <c r="AH65" s="24" t="s">
        <v>68</v>
      </c>
      <c r="AI65" s="27" t="s">
        <v>53</v>
      </c>
      <c r="AJ65" s="27" t="s">
        <v>54</v>
      </c>
      <c r="AK65" s="28" t="s">
        <v>561</v>
      </c>
      <c r="AL65" s="29" t="s">
        <v>562</v>
      </c>
      <c r="AM65" s="15">
        <v>64.0</v>
      </c>
      <c r="AN65" s="30" t="s">
        <v>57</v>
      </c>
      <c r="AO65" s="16" t="s">
        <v>95</v>
      </c>
      <c r="AP65" s="16" t="s">
        <v>72</v>
      </c>
      <c r="AQ65" s="30" t="s">
        <v>563</v>
      </c>
      <c r="AR65" s="30" t="s">
        <v>564</v>
      </c>
      <c r="AS65" s="16" t="s">
        <v>565</v>
      </c>
      <c r="AT65" s="15">
        <v>3487.0</v>
      </c>
      <c r="AU65" s="33" t="s">
        <v>566</v>
      </c>
    </row>
    <row r="66" ht="56.25" customHeight="1">
      <c r="A66" s="15">
        <v>55.0</v>
      </c>
      <c r="B66" s="16" t="s">
        <v>567</v>
      </c>
      <c r="C66" s="27" t="str">
        <f>IMAGE("https://nh-cdn.catalogue.ac/MenuIcon/Ins46.png")</f>
        <v/>
      </c>
      <c r="D66" s="27" t="str">
        <f>IMAGE("https://nh-cdn.catalogue.ac/BookInsectIcon/InsectNokogirikuwagata.png")</f>
        <v/>
      </c>
      <c r="E66" s="18" t="str">
        <f>IMAGE("https://nh-cdn.catalogue.ac/FtrIcon/FtrInsectNokogirikuwagata.png")</f>
        <v/>
      </c>
      <c r="F66" s="15">
        <v>2000.0</v>
      </c>
      <c r="G66" s="16" t="s">
        <v>79</v>
      </c>
      <c r="H66" s="16" t="s">
        <v>66</v>
      </c>
      <c r="I66" s="20">
        <v>0.0</v>
      </c>
      <c r="J66" s="21" t="s">
        <v>418</v>
      </c>
      <c r="K66" s="22" t="s">
        <v>51</v>
      </c>
      <c r="L66" s="22" t="s">
        <v>51</v>
      </c>
      <c r="M66" s="23" t="s">
        <v>51</v>
      </c>
      <c r="N66" s="23" t="s">
        <v>51</v>
      </c>
      <c r="O66" s="23" t="s">
        <v>51</v>
      </c>
      <c r="P66" s="24" t="s">
        <v>51</v>
      </c>
      <c r="Q66" s="24" t="s">
        <v>68</v>
      </c>
      <c r="R66" s="24" t="s">
        <v>68</v>
      </c>
      <c r="S66" s="25" t="s">
        <v>51</v>
      </c>
      <c r="T66" s="25" t="s">
        <v>51</v>
      </c>
      <c r="U66" s="25" t="s">
        <v>51</v>
      </c>
      <c r="V66" s="22" t="s">
        <v>51</v>
      </c>
      <c r="W66" s="26" t="s">
        <v>68</v>
      </c>
      <c r="X66" s="24" t="s">
        <v>68</v>
      </c>
      <c r="Y66" s="25" t="s">
        <v>51</v>
      </c>
      <c r="Z66" s="25" t="s">
        <v>51</v>
      </c>
      <c r="AA66" s="25" t="s">
        <v>51</v>
      </c>
      <c r="AB66" s="22" t="s">
        <v>51</v>
      </c>
      <c r="AC66" s="22" t="s">
        <v>51</v>
      </c>
      <c r="AD66" s="22" t="s">
        <v>51</v>
      </c>
      <c r="AE66" s="23" t="s">
        <v>51</v>
      </c>
      <c r="AF66" s="23" t="s">
        <v>51</v>
      </c>
      <c r="AG66" s="23" t="s">
        <v>51</v>
      </c>
      <c r="AH66" s="24" t="s">
        <v>51</v>
      </c>
      <c r="AI66" s="27" t="s">
        <v>53</v>
      </c>
      <c r="AJ66" s="27" t="s">
        <v>54</v>
      </c>
      <c r="AK66" s="28" t="s">
        <v>568</v>
      </c>
      <c r="AL66" s="29" t="s">
        <v>569</v>
      </c>
      <c r="AM66" s="15">
        <v>64.0</v>
      </c>
      <c r="AN66" s="30" t="s">
        <v>57</v>
      </c>
      <c r="AO66" s="16" t="s">
        <v>94</v>
      </c>
      <c r="AP66" s="16" t="s">
        <v>72</v>
      </c>
      <c r="AQ66" s="30" t="s">
        <v>570</v>
      </c>
      <c r="AR66" s="30" t="s">
        <v>571</v>
      </c>
      <c r="AS66" s="16" t="s">
        <v>572</v>
      </c>
      <c r="AT66" s="15">
        <v>632.0</v>
      </c>
      <c r="AU66" s="33" t="s">
        <v>573</v>
      </c>
    </row>
    <row r="67" ht="56.25" customHeight="1">
      <c r="A67" s="15">
        <v>52.0</v>
      </c>
      <c r="B67" s="16" t="s">
        <v>574</v>
      </c>
      <c r="C67" s="27" t="str">
        <f>IMAGE("https://nh-cdn.catalogue.ac/MenuIcon/Ins43.png")</f>
        <v/>
      </c>
      <c r="D67" s="27" t="str">
        <f>IMAGE("https://nh-cdn.catalogue.ac/BookInsectIcon/InsectPurachinakogane.png")</f>
        <v/>
      </c>
      <c r="E67" s="18" t="str">
        <f>IMAGE("https://nh-cdn.catalogue.ac/FtrIcon/FtrInsectPurachinakogane.png")</f>
        <v/>
      </c>
      <c r="F67" s="15">
        <v>10000.0</v>
      </c>
      <c r="G67" s="19" t="s">
        <v>79</v>
      </c>
      <c r="H67" s="19" t="s">
        <v>66</v>
      </c>
      <c r="I67" s="20">
        <v>50.0</v>
      </c>
      <c r="J67" s="21" t="s">
        <v>575</v>
      </c>
      <c r="K67" s="22" t="s">
        <v>51</v>
      </c>
      <c r="L67" s="22" t="s">
        <v>51</v>
      </c>
      <c r="M67" s="23" t="s">
        <v>51</v>
      </c>
      <c r="N67" s="23" t="s">
        <v>51</v>
      </c>
      <c r="O67" s="23" t="s">
        <v>51</v>
      </c>
      <c r="P67" s="24" t="s">
        <v>51</v>
      </c>
      <c r="Q67" s="24" t="s">
        <v>291</v>
      </c>
      <c r="R67" s="24" t="s">
        <v>291</v>
      </c>
      <c r="S67" s="25" t="s">
        <v>51</v>
      </c>
      <c r="T67" s="25" t="s">
        <v>51</v>
      </c>
      <c r="U67" s="25" t="s">
        <v>51</v>
      </c>
      <c r="V67" s="22" t="s">
        <v>51</v>
      </c>
      <c r="W67" s="26" t="s">
        <v>291</v>
      </c>
      <c r="X67" s="24" t="s">
        <v>291</v>
      </c>
      <c r="Y67" s="25" t="s">
        <v>51</v>
      </c>
      <c r="Z67" s="25" t="s">
        <v>51</v>
      </c>
      <c r="AA67" s="25" t="s">
        <v>51</v>
      </c>
      <c r="AB67" s="22" t="s">
        <v>51</v>
      </c>
      <c r="AC67" s="22" t="s">
        <v>51</v>
      </c>
      <c r="AD67" s="22" t="s">
        <v>51</v>
      </c>
      <c r="AE67" s="23" t="s">
        <v>51</v>
      </c>
      <c r="AF67" s="23" t="s">
        <v>51</v>
      </c>
      <c r="AG67" s="23" t="s">
        <v>51</v>
      </c>
      <c r="AH67" s="24" t="s">
        <v>51</v>
      </c>
      <c r="AI67" s="27" t="s">
        <v>53</v>
      </c>
      <c r="AJ67" s="27" t="s">
        <v>54</v>
      </c>
      <c r="AK67" s="28" t="s">
        <v>576</v>
      </c>
      <c r="AL67" s="29" t="s">
        <v>577</v>
      </c>
      <c r="AM67" s="15">
        <v>64.0</v>
      </c>
      <c r="AN67" s="30" t="s">
        <v>57</v>
      </c>
      <c r="AO67" s="16" t="s">
        <v>72</v>
      </c>
      <c r="AP67" s="16" t="s">
        <v>115</v>
      </c>
      <c r="AQ67" s="30" t="s">
        <v>578</v>
      </c>
      <c r="AR67" s="30" t="s">
        <v>579</v>
      </c>
      <c r="AS67" s="16" t="s">
        <v>580</v>
      </c>
      <c r="AT67" s="15">
        <v>639.0</v>
      </c>
      <c r="AU67" s="33" t="s">
        <v>581</v>
      </c>
    </row>
    <row r="68" ht="56.25" customHeight="1">
      <c r="A68" s="15">
        <v>80.0</v>
      </c>
      <c r="B68" s="16" t="s">
        <v>582</v>
      </c>
      <c r="C68" s="27" t="str">
        <f>IMAGE("https://nh-cdn.catalogue.ac/MenuIcon/Ins63.png")</f>
        <v/>
      </c>
      <c r="D68" s="27" t="str">
        <f>IMAGE("https://nh-cdn.catalogue.ac/BookInsectIcon/InsectSasori.png")</f>
        <v/>
      </c>
      <c r="E68" s="18" t="str">
        <f>IMAGE("https://nh-cdn.catalogue.ac/FtrIcon/FtrInsectSasori.png")</f>
        <v/>
      </c>
      <c r="F68" s="15">
        <v>8000.0</v>
      </c>
      <c r="G68" s="19" t="s">
        <v>110</v>
      </c>
      <c r="H68" s="19" t="s">
        <v>66</v>
      </c>
      <c r="I68" s="20">
        <v>0.0</v>
      </c>
      <c r="J68" s="21" t="s">
        <v>122</v>
      </c>
      <c r="K68" s="22" t="s">
        <v>51</v>
      </c>
      <c r="L68" s="22" t="s">
        <v>51</v>
      </c>
      <c r="M68" s="23" t="s">
        <v>51</v>
      </c>
      <c r="N68" s="23" t="s">
        <v>51</v>
      </c>
      <c r="O68" s="23" t="s">
        <v>80</v>
      </c>
      <c r="P68" s="24" t="s">
        <v>80</v>
      </c>
      <c r="Q68" s="24" t="s">
        <v>80</v>
      </c>
      <c r="R68" s="24" t="s">
        <v>80</v>
      </c>
      <c r="S68" s="25" t="s">
        <v>80</v>
      </c>
      <c r="T68" s="25" t="s">
        <v>80</v>
      </c>
      <c r="U68" s="25" t="s">
        <v>51</v>
      </c>
      <c r="V68" s="22" t="s">
        <v>51</v>
      </c>
      <c r="W68" s="26" t="s">
        <v>80</v>
      </c>
      <c r="X68" s="24" t="s">
        <v>80</v>
      </c>
      <c r="Y68" s="25" t="s">
        <v>80</v>
      </c>
      <c r="Z68" s="25" t="s">
        <v>80</v>
      </c>
      <c r="AA68" s="25" t="s">
        <v>51</v>
      </c>
      <c r="AB68" s="22" t="s">
        <v>51</v>
      </c>
      <c r="AC68" s="22" t="s">
        <v>51</v>
      </c>
      <c r="AD68" s="22" t="s">
        <v>51</v>
      </c>
      <c r="AE68" s="23" t="s">
        <v>51</v>
      </c>
      <c r="AF68" s="23" t="s">
        <v>51</v>
      </c>
      <c r="AG68" s="23" t="s">
        <v>80</v>
      </c>
      <c r="AH68" s="24" t="s">
        <v>80</v>
      </c>
      <c r="AI68" s="27" t="s">
        <v>53</v>
      </c>
      <c r="AJ68" s="27" t="s">
        <v>54</v>
      </c>
      <c r="AK68" s="28" t="s">
        <v>583</v>
      </c>
      <c r="AL68" s="29" t="s">
        <v>584</v>
      </c>
      <c r="AM68" s="15">
        <v>64.0</v>
      </c>
      <c r="AN68" s="30" t="s">
        <v>57</v>
      </c>
      <c r="AO68" s="16" t="s">
        <v>72</v>
      </c>
      <c r="AP68" s="16" t="s">
        <v>72</v>
      </c>
      <c r="AQ68" s="30" t="s">
        <v>585</v>
      </c>
      <c r="AR68" s="30" t="s">
        <v>586</v>
      </c>
      <c r="AS68" s="16" t="s">
        <v>587</v>
      </c>
      <c r="AT68" s="15">
        <v>640.0</v>
      </c>
      <c r="AU68" s="33" t="s">
        <v>588</v>
      </c>
    </row>
    <row r="69" ht="56.25" customHeight="1">
      <c r="A69" s="15">
        <v>75.0</v>
      </c>
      <c r="B69" s="16" t="s">
        <v>589</v>
      </c>
      <c r="C69" s="27" t="str">
        <f>IMAGE("https://nh-cdn.catalogue.ac/MenuIcon/Ins29.png")</f>
        <v/>
      </c>
      <c r="D69" s="27" t="str">
        <f>IMAGE("https://nh-cdn.catalogue.ac/BookInsectIcon/InsectKatatsumuri.png")</f>
        <v/>
      </c>
      <c r="E69" s="18" t="str">
        <f>IMAGE("https://nh-cdn.catalogue.ac/FtrIcon/FtrInsectKatatsumuri.png")</f>
        <v/>
      </c>
      <c r="F69" s="15">
        <v>250.0</v>
      </c>
      <c r="G69" s="32" t="s">
        <v>590</v>
      </c>
      <c r="H69" s="16" t="s">
        <v>591</v>
      </c>
      <c r="I69" s="20">
        <v>0.0</v>
      </c>
      <c r="J69" s="21" t="s">
        <v>418</v>
      </c>
      <c r="K69" s="22" t="s">
        <v>68</v>
      </c>
      <c r="L69" s="22" t="s">
        <v>68</v>
      </c>
      <c r="M69" s="23" t="s">
        <v>68</v>
      </c>
      <c r="N69" s="23" t="s">
        <v>68</v>
      </c>
      <c r="O69" s="23" t="s">
        <v>68</v>
      </c>
      <c r="P69" s="24" t="s">
        <v>68</v>
      </c>
      <c r="Q69" s="24" t="s">
        <v>68</v>
      </c>
      <c r="R69" s="24" t="s">
        <v>68</v>
      </c>
      <c r="S69" s="25" t="s">
        <v>68</v>
      </c>
      <c r="T69" s="25" t="s">
        <v>68</v>
      </c>
      <c r="U69" s="25" t="s">
        <v>68</v>
      </c>
      <c r="V69" s="22" t="s">
        <v>68</v>
      </c>
      <c r="W69" s="26" t="s">
        <v>68</v>
      </c>
      <c r="X69" s="24" t="s">
        <v>68</v>
      </c>
      <c r="Y69" s="25" t="s">
        <v>68</v>
      </c>
      <c r="Z69" s="25" t="s">
        <v>68</v>
      </c>
      <c r="AA69" s="25" t="s">
        <v>68</v>
      </c>
      <c r="AB69" s="22" t="s">
        <v>68</v>
      </c>
      <c r="AC69" s="22" t="s">
        <v>68</v>
      </c>
      <c r="AD69" s="22" t="s">
        <v>68</v>
      </c>
      <c r="AE69" s="23" t="s">
        <v>68</v>
      </c>
      <c r="AF69" s="23" t="s">
        <v>68</v>
      </c>
      <c r="AG69" s="23" t="s">
        <v>68</v>
      </c>
      <c r="AH69" s="24" t="s">
        <v>68</v>
      </c>
      <c r="AI69" s="27" t="s">
        <v>53</v>
      </c>
      <c r="AJ69" s="27" t="s">
        <v>69</v>
      </c>
      <c r="AK69" s="28" t="s">
        <v>592</v>
      </c>
      <c r="AL69" s="29" t="s">
        <v>593</v>
      </c>
      <c r="AM69" s="15">
        <v>64.0</v>
      </c>
      <c r="AN69" s="30" t="s">
        <v>57</v>
      </c>
      <c r="AO69" s="16" t="s">
        <v>115</v>
      </c>
      <c r="AP69" s="16" t="s">
        <v>59</v>
      </c>
      <c r="AQ69" s="30" t="s">
        <v>594</v>
      </c>
      <c r="AR69" s="30" t="s">
        <v>595</v>
      </c>
      <c r="AS69" s="16" t="s">
        <v>596</v>
      </c>
      <c r="AT69" s="15">
        <v>611.0</v>
      </c>
      <c r="AU69" s="33" t="s">
        <v>597</v>
      </c>
    </row>
    <row r="70" ht="56.25" customHeight="1">
      <c r="A70" s="15">
        <v>78.0</v>
      </c>
      <c r="B70" s="16" t="s">
        <v>598</v>
      </c>
      <c r="C70" s="27" t="str">
        <f>IMAGE("https://nh-cdn.catalogue.ac/MenuIcon/Ins61.png")</f>
        <v/>
      </c>
      <c r="D70" s="27" t="str">
        <f>IMAGE("https://nh-cdn.catalogue.ac/BookInsectIcon/InsectKumo.png")</f>
        <v/>
      </c>
      <c r="E70" s="18" t="str">
        <f>IMAGE("https://nh-cdn.catalogue.ac/FtrIcon/FtrInsectKumo.png")</f>
        <v/>
      </c>
      <c r="F70" s="15">
        <v>600.0</v>
      </c>
      <c r="G70" s="16" t="s">
        <v>90</v>
      </c>
      <c r="H70" s="19" t="s">
        <v>66</v>
      </c>
      <c r="I70" s="20">
        <v>0.0</v>
      </c>
      <c r="J70" s="21" t="s">
        <v>140</v>
      </c>
      <c r="K70" s="22" t="s">
        <v>299</v>
      </c>
      <c r="L70" s="22" t="s">
        <v>299</v>
      </c>
      <c r="M70" s="23" t="s">
        <v>299</v>
      </c>
      <c r="N70" s="23" t="s">
        <v>299</v>
      </c>
      <c r="O70" s="23" t="s">
        <v>299</v>
      </c>
      <c r="P70" s="24" t="s">
        <v>299</v>
      </c>
      <c r="Q70" s="24" t="s">
        <v>299</v>
      </c>
      <c r="R70" s="24" t="s">
        <v>299</v>
      </c>
      <c r="S70" s="25" t="s">
        <v>299</v>
      </c>
      <c r="T70" s="25" t="s">
        <v>299</v>
      </c>
      <c r="U70" s="25" t="s">
        <v>299</v>
      </c>
      <c r="V70" s="22" t="s">
        <v>299</v>
      </c>
      <c r="W70" s="26" t="s">
        <v>299</v>
      </c>
      <c r="X70" s="24" t="s">
        <v>299</v>
      </c>
      <c r="Y70" s="25" t="s">
        <v>299</v>
      </c>
      <c r="Z70" s="25" t="s">
        <v>299</v>
      </c>
      <c r="AA70" s="25" t="s">
        <v>299</v>
      </c>
      <c r="AB70" s="22" t="s">
        <v>299</v>
      </c>
      <c r="AC70" s="22" t="s">
        <v>299</v>
      </c>
      <c r="AD70" s="22" t="s">
        <v>299</v>
      </c>
      <c r="AE70" s="23" t="s">
        <v>299</v>
      </c>
      <c r="AF70" s="23" t="s">
        <v>299</v>
      </c>
      <c r="AG70" s="23" t="s">
        <v>299</v>
      </c>
      <c r="AH70" s="24" t="s">
        <v>299</v>
      </c>
      <c r="AI70" s="27" t="s">
        <v>53</v>
      </c>
      <c r="AJ70" s="27" t="s">
        <v>54</v>
      </c>
      <c r="AK70" s="28" t="s">
        <v>599</v>
      </c>
      <c r="AL70" s="29" t="s">
        <v>600</v>
      </c>
      <c r="AM70" s="15">
        <v>64.0</v>
      </c>
      <c r="AN70" s="30" t="s">
        <v>57</v>
      </c>
      <c r="AO70" s="16" t="s">
        <v>84</v>
      </c>
      <c r="AP70" s="16" t="s">
        <v>83</v>
      </c>
      <c r="AQ70" s="30" t="s">
        <v>601</v>
      </c>
      <c r="AR70" s="30" t="s">
        <v>602</v>
      </c>
      <c r="AS70" s="16" t="s">
        <v>603</v>
      </c>
      <c r="AT70" s="15">
        <v>619.0</v>
      </c>
      <c r="AU70" s="33" t="s">
        <v>604</v>
      </c>
    </row>
    <row r="71" ht="56.25" customHeight="1">
      <c r="A71" s="15">
        <v>41.0</v>
      </c>
      <c r="B71" s="16" t="s">
        <v>605</v>
      </c>
      <c r="C71" s="27" t="str">
        <f>IMAGE("https://nh-cdn.catalogue.ac/MenuIcon/Ins64.png")</f>
        <v/>
      </c>
      <c r="D71" s="27" t="str">
        <f>IMAGE("https://nh-cdn.catalogue.ac/BookInsectIcon/InsectKamemushi.png")</f>
        <v/>
      </c>
      <c r="E71" s="18" t="str">
        <f>IMAGE("https://nh-cdn.catalogue.ac/FtrIcon/FtrInsectKamemushi.png")</f>
        <v/>
      </c>
      <c r="F71" s="15">
        <v>120.0</v>
      </c>
      <c r="G71" s="16" t="s">
        <v>395</v>
      </c>
      <c r="H71" s="16" t="s">
        <v>49</v>
      </c>
      <c r="I71" s="20">
        <v>0.0</v>
      </c>
      <c r="J71" s="21" t="s">
        <v>204</v>
      </c>
      <c r="K71" s="22" t="s">
        <v>51</v>
      </c>
      <c r="L71" s="22" t="s">
        <v>51</v>
      </c>
      <c r="M71" s="23" t="s">
        <v>68</v>
      </c>
      <c r="N71" s="23" t="s">
        <v>68</v>
      </c>
      <c r="O71" s="23" t="s">
        <v>68</v>
      </c>
      <c r="P71" s="24" t="s">
        <v>68</v>
      </c>
      <c r="Q71" s="24" t="s">
        <v>68</v>
      </c>
      <c r="R71" s="24" t="s">
        <v>68</v>
      </c>
      <c r="S71" s="25" t="s">
        <v>68</v>
      </c>
      <c r="T71" s="25" t="s">
        <v>68</v>
      </c>
      <c r="U71" s="25" t="s">
        <v>51</v>
      </c>
      <c r="V71" s="22" t="s">
        <v>51</v>
      </c>
      <c r="W71" s="26" t="s">
        <v>68</v>
      </c>
      <c r="X71" s="24" t="s">
        <v>68</v>
      </c>
      <c r="Y71" s="25" t="s">
        <v>68</v>
      </c>
      <c r="Z71" s="25" t="s">
        <v>68</v>
      </c>
      <c r="AA71" s="25" t="s">
        <v>51</v>
      </c>
      <c r="AB71" s="22" t="s">
        <v>51</v>
      </c>
      <c r="AC71" s="22" t="s">
        <v>51</v>
      </c>
      <c r="AD71" s="22" t="s">
        <v>51</v>
      </c>
      <c r="AE71" s="23" t="s">
        <v>68</v>
      </c>
      <c r="AF71" s="23" t="s">
        <v>68</v>
      </c>
      <c r="AG71" s="23" t="s">
        <v>68</v>
      </c>
      <c r="AH71" s="24" t="s">
        <v>68</v>
      </c>
      <c r="AI71" s="27" t="s">
        <v>53</v>
      </c>
      <c r="AJ71" s="27" t="s">
        <v>69</v>
      </c>
      <c r="AK71" s="28" t="s">
        <v>606</v>
      </c>
      <c r="AL71" s="29" t="s">
        <v>607</v>
      </c>
      <c r="AM71" s="15">
        <v>64.0</v>
      </c>
      <c r="AN71" s="30" t="s">
        <v>57</v>
      </c>
      <c r="AO71" s="16" t="s">
        <v>59</v>
      </c>
      <c r="AP71" s="16" t="s">
        <v>84</v>
      </c>
      <c r="AQ71" s="30" t="s">
        <v>608</v>
      </c>
      <c r="AR71" s="30" t="s">
        <v>609</v>
      </c>
      <c r="AS71" s="16" t="s">
        <v>610</v>
      </c>
      <c r="AT71" s="15">
        <v>608.0</v>
      </c>
      <c r="AU71" s="33" t="s">
        <v>611</v>
      </c>
    </row>
    <row r="72" ht="56.25" customHeight="1">
      <c r="A72" s="15">
        <v>79.0</v>
      </c>
      <c r="B72" s="16" t="s">
        <v>612</v>
      </c>
      <c r="C72" s="27" t="str">
        <f>IMAGE("https://nh-cdn.catalogue.ac/MenuIcon/Ins62.png")</f>
        <v/>
      </c>
      <c r="D72" s="27" t="str">
        <f>IMAGE("https://nh-cdn.catalogue.ac/BookInsectIcon/InsectTaranchura.png")</f>
        <v/>
      </c>
      <c r="E72" s="18" t="str">
        <f>IMAGE("https://nh-cdn.catalogue.ac/FtrIcon/FtrInsectTaranchura.png")</f>
        <v/>
      </c>
      <c r="F72" s="15">
        <v>8000.0</v>
      </c>
      <c r="G72" s="19" t="s">
        <v>110</v>
      </c>
      <c r="H72" s="19" t="s">
        <v>66</v>
      </c>
      <c r="I72" s="20">
        <v>0.0</v>
      </c>
      <c r="J72" s="21" t="s">
        <v>122</v>
      </c>
      <c r="K72" s="22" t="s">
        <v>80</v>
      </c>
      <c r="L72" s="22" t="s">
        <v>80</v>
      </c>
      <c r="M72" s="23" t="s">
        <v>80</v>
      </c>
      <c r="N72" s="23" t="s">
        <v>80</v>
      </c>
      <c r="O72" s="23" t="s">
        <v>51</v>
      </c>
      <c r="P72" s="24" t="s">
        <v>51</v>
      </c>
      <c r="Q72" s="24" t="s">
        <v>51</v>
      </c>
      <c r="R72" s="24" t="s">
        <v>51</v>
      </c>
      <c r="S72" s="25" t="s">
        <v>51</v>
      </c>
      <c r="T72" s="25" t="s">
        <v>51</v>
      </c>
      <c r="U72" s="25" t="s">
        <v>80</v>
      </c>
      <c r="V72" s="22" t="s">
        <v>80</v>
      </c>
      <c r="W72" s="26" t="s">
        <v>51</v>
      </c>
      <c r="X72" s="24" t="s">
        <v>51</v>
      </c>
      <c r="Y72" s="25" t="s">
        <v>51</v>
      </c>
      <c r="Z72" s="25" t="s">
        <v>51</v>
      </c>
      <c r="AA72" s="25" t="s">
        <v>80</v>
      </c>
      <c r="AB72" s="22" t="s">
        <v>80</v>
      </c>
      <c r="AC72" s="22" t="s">
        <v>80</v>
      </c>
      <c r="AD72" s="22" t="s">
        <v>80</v>
      </c>
      <c r="AE72" s="23" t="s">
        <v>80</v>
      </c>
      <c r="AF72" s="23" t="s">
        <v>80</v>
      </c>
      <c r="AG72" s="23" t="s">
        <v>51</v>
      </c>
      <c r="AH72" s="24" t="s">
        <v>51</v>
      </c>
      <c r="AI72" s="27" t="s">
        <v>53</v>
      </c>
      <c r="AJ72" s="27" t="s">
        <v>54</v>
      </c>
      <c r="AK72" s="28" t="s">
        <v>613</v>
      </c>
      <c r="AL72" s="29" t="s">
        <v>614</v>
      </c>
      <c r="AM72" s="15">
        <v>64.0</v>
      </c>
      <c r="AN72" s="30" t="s">
        <v>57</v>
      </c>
      <c r="AO72" s="16" t="s">
        <v>94</v>
      </c>
      <c r="AP72" s="16" t="s">
        <v>72</v>
      </c>
      <c r="AQ72" s="30" t="s">
        <v>615</v>
      </c>
      <c r="AR72" s="30" t="s">
        <v>616</v>
      </c>
      <c r="AS72" s="16" t="s">
        <v>617</v>
      </c>
      <c r="AT72" s="15">
        <v>646.0</v>
      </c>
      <c r="AU72" s="33" t="s">
        <v>618</v>
      </c>
    </row>
    <row r="73" ht="56.25" customHeight="1">
      <c r="A73" s="15">
        <v>44.0</v>
      </c>
      <c r="B73" s="16" t="s">
        <v>619</v>
      </c>
      <c r="C73" s="27" t="str">
        <f>IMAGE("https://nh-cdn.catalogue.ac/MenuIcon/Ins70.png")</f>
        <v/>
      </c>
      <c r="D73" s="27" t="str">
        <f>IMAGE("https://nh-cdn.catalogue.ac/BookInsectIcon/InsectHanmyou.png")</f>
        <v/>
      </c>
      <c r="E73" s="18" t="str">
        <f>IMAGE("https://nh-cdn.catalogue.ac/FtrIcon/FtrInsectHanmyou.png")</f>
        <v/>
      </c>
      <c r="F73" s="15">
        <v>1500.0</v>
      </c>
      <c r="G73" s="16" t="s">
        <v>110</v>
      </c>
      <c r="H73" s="16" t="s">
        <v>49</v>
      </c>
      <c r="I73" s="20">
        <v>20.0</v>
      </c>
      <c r="J73" s="21" t="s">
        <v>480</v>
      </c>
      <c r="K73" s="22" t="s">
        <v>51</v>
      </c>
      <c r="L73" s="22" t="s">
        <v>68</v>
      </c>
      <c r="M73" s="23" t="s">
        <v>68</v>
      </c>
      <c r="N73" s="23" t="s">
        <v>68</v>
      </c>
      <c r="O73" s="23" t="s">
        <v>68</v>
      </c>
      <c r="P73" s="24" t="s">
        <v>68</v>
      </c>
      <c r="Q73" s="24" t="s">
        <v>68</v>
      </c>
      <c r="R73" s="24" t="s">
        <v>68</v>
      </c>
      <c r="S73" s="25" t="s">
        <v>68</v>
      </c>
      <c r="T73" s="25" t="s">
        <v>68</v>
      </c>
      <c r="U73" s="25" t="s">
        <v>51</v>
      </c>
      <c r="V73" s="22" t="s">
        <v>51</v>
      </c>
      <c r="W73" s="26" t="s">
        <v>68</v>
      </c>
      <c r="X73" s="24" t="s">
        <v>68</v>
      </c>
      <c r="Y73" s="25" t="s">
        <v>68</v>
      </c>
      <c r="Z73" s="25" t="s">
        <v>68</v>
      </c>
      <c r="AA73" s="25" t="s">
        <v>51</v>
      </c>
      <c r="AB73" s="22" t="s">
        <v>51</v>
      </c>
      <c r="AC73" s="22" t="s">
        <v>51</v>
      </c>
      <c r="AD73" s="22" t="s">
        <v>68</v>
      </c>
      <c r="AE73" s="23" t="s">
        <v>68</v>
      </c>
      <c r="AF73" s="23" t="s">
        <v>68</v>
      </c>
      <c r="AG73" s="23" t="s">
        <v>68</v>
      </c>
      <c r="AH73" s="24" t="s">
        <v>68</v>
      </c>
      <c r="AI73" s="27" t="s">
        <v>53</v>
      </c>
      <c r="AJ73" s="27" t="s">
        <v>69</v>
      </c>
      <c r="AK73" s="28" t="s">
        <v>620</v>
      </c>
      <c r="AL73" s="29" t="s">
        <v>621</v>
      </c>
      <c r="AM73" s="15">
        <v>64.0</v>
      </c>
      <c r="AN73" s="30" t="s">
        <v>57</v>
      </c>
      <c r="AO73" s="16" t="s">
        <v>59</v>
      </c>
      <c r="AP73" s="16" t="s">
        <v>84</v>
      </c>
      <c r="AQ73" s="30" t="s">
        <v>622</v>
      </c>
      <c r="AR73" s="30" t="s">
        <v>623</v>
      </c>
      <c r="AS73" s="16" t="s">
        <v>624</v>
      </c>
      <c r="AT73" s="15">
        <v>599.0</v>
      </c>
      <c r="AU73" s="33" t="s">
        <v>625</v>
      </c>
    </row>
    <row r="74" ht="56.25" customHeight="1">
      <c r="A74" s="15">
        <v>3.0</v>
      </c>
      <c r="B74" s="16" t="s">
        <v>626</v>
      </c>
      <c r="C74" s="27" t="str">
        <f>IMAGE("https://nh-cdn.catalogue.ac/MenuIcon/Ins2.png")</f>
        <v/>
      </c>
      <c r="D74" s="27" t="str">
        <f>IMAGE("https://nh-cdn.catalogue.ac/BookInsectIcon/InsectAgehacho.png")</f>
        <v/>
      </c>
      <c r="E74" s="18" t="str">
        <f>IMAGE("https://nh-cdn.catalogue.ac/FtrIcon/FtrInsectAgehacho.png")</f>
        <v/>
      </c>
      <c r="F74" s="15">
        <v>240.0</v>
      </c>
      <c r="G74" s="32" t="s">
        <v>167</v>
      </c>
      <c r="H74" s="16" t="s">
        <v>49</v>
      </c>
      <c r="I74" s="20">
        <v>0.0</v>
      </c>
      <c r="J74" s="21" t="s">
        <v>204</v>
      </c>
      <c r="K74" s="22" t="s">
        <v>51</v>
      </c>
      <c r="L74" s="22" t="s">
        <v>51</v>
      </c>
      <c r="M74" s="23" t="s">
        <v>168</v>
      </c>
      <c r="N74" s="23" t="s">
        <v>168</v>
      </c>
      <c r="O74" s="23" t="s">
        <v>168</v>
      </c>
      <c r="P74" s="24" t="s">
        <v>168</v>
      </c>
      <c r="Q74" s="24" t="s">
        <v>168</v>
      </c>
      <c r="R74" s="24" t="s">
        <v>168</v>
      </c>
      <c r="S74" s="25" t="s">
        <v>168</v>
      </c>
      <c r="T74" s="25" t="s">
        <v>51</v>
      </c>
      <c r="U74" s="25" t="s">
        <v>51</v>
      </c>
      <c r="V74" s="22" t="s">
        <v>51</v>
      </c>
      <c r="W74" s="26" t="s">
        <v>168</v>
      </c>
      <c r="X74" s="24" t="s">
        <v>168</v>
      </c>
      <c r="Y74" s="25" t="s">
        <v>168</v>
      </c>
      <c r="Z74" s="25" t="s">
        <v>51</v>
      </c>
      <c r="AA74" s="25" t="s">
        <v>51</v>
      </c>
      <c r="AB74" s="22" t="s">
        <v>51</v>
      </c>
      <c r="AC74" s="22" t="s">
        <v>51</v>
      </c>
      <c r="AD74" s="22" t="s">
        <v>51</v>
      </c>
      <c r="AE74" s="23" t="s">
        <v>168</v>
      </c>
      <c r="AF74" s="23" t="s">
        <v>168</v>
      </c>
      <c r="AG74" s="23" t="s">
        <v>168</v>
      </c>
      <c r="AH74" s="24" t="s">
        <v>168</v>
      </c>
      <c r="AI74" s="27" t="s">
        <v>53</v>
      </c>
      <c r="AJ74" s="27" t="s">
        <v>54</v>
      </c>
      <c r="AK74" s="28" t="s">
        <v>627</v>
      </c>
      <c r="AL74" s="29" t="s">
        <v>628</v>
      </c>
      <c r="AM74" s="15">
        <v>64.0</v>
      </c>
      <c r="AN74" s="30" t="s">
        <v>57</v>
      </c>
      <c r="AO74" s="16" t="s">
        <v>84</v>
      </c>
      <c r="AP74" s="16" t="s">
        <v>59</v>
      </c>
      <c r="AQ74" s="30" t="s">
        <v>629</v>
      </c>
      <c r="AR74" s="30" t="s">
        <v>630</v>
      </c>
      <c r="AS74" s="16" t="s">
        <v>631</v>
      </c>
      <c r="AT74" s="15">
        <v>583.0</v>
      </c>
      <c r="AU74" s="33" t="s">
        <v>632</v>
      </c>
    </row>
    <row r="75" ht="56.25" customHeight="1">
      <c r="A75" s="15">
        <v>46.0</v>
      </c>
      <c r="B75" s="16" t="s">
        <v>633</v>
      </c>
      <c r="C75" s="27" t="str">
        <f>IMAGE("https://nh-cdn.catalogue.ac/MenuIcon/Ins38.png")</f>
        <v/>
      </c>
      <c r="D75" s="27" t="str">
        <f>IMAGE("https://nh-cdn.catalogue.ac/BookInsectIcon/InsectBaiorinmushi.png")</f>
        <v/>
      </c>
      <c r="E75" s="18" t="str">
        <f>IMAGE("https://nh-cdn.catalogue.ac/FtrIcon/FtrInsectBaiorinmushi.png")</f>
        <v/>
      </c>
      <c r="F75" s="15">
        <v>450.0</v>
      </c>
      <c r="G75" s="16" t="s">
        <v>158</v>
      </c>
      <c r="H75" s="16" t="s">
        <v>49</v>
      </c>
      <c r="I75" s="20">
        <v>0.0</v>
      </c>
      <c r="J75" s="21" t="s">
        <v>159</v>
      </c>
      <c r="K75" s="22" t="s">
        <v>51</v>
      </c>
      <c r="L75" s="22" t="s">
        <v>51</v>
      </c>
      <c r="M75" s="23" t="s">
        <v>51</v>
      </c>
      <c r="N75" s="23" t="s">
        <v>51</v>
      </c>
      <c r="O75" s="23" t="s">
        <v>68</v>
      </c>
      <c r="P75" s="24" t="s">
        <v>68</v>
      </c>
      <c r="Q75" s="24" t="s">
        <v>51</v>
      </c>
      <c r="R75" s="24" t="s">
        <v>51</v>
      </c>
      <c r="S75" s="25" t="s">
        <v>68</v>
      </c>
      <c r="T75" s="25" t="s">
        <v>68</v>
      </c>
      <c r="U75" s="25" t="s">
        <v>68</v>
      </c>
      <c r="V75" s="22" t="s">
        <v>51</v>
      </c>
      <c r="W75" s="26" t="s">
        <v>51</v>
      </c>
      <c r="X75" s="24" t="s">
        <v>51</v>
      </c>
      <c r="Y75" s="25" t="s">
        <v>68</v>
      </c>
      <c r="Z75" s="25" t="s">
        <v>68</v>
      </c>
      <c r="AA75" s="25" t="s">
        <v>68</v>
      </c>
      <c r="AB75" s="22" t="s">
        <v>51</v>
      </c>
      <c r="AC75" s="22" t="s">
        <v>51</v>
      </c>
      <c r="AD75" s="22" t="s">
        <v>51</v>
      </c>
      <c r="AE75" s="23" t="s">
        <v>51</v>
      </c>
      <c r="AF75" s="23" t="s">
        <v>51</v>
      </c>
      <c r="AG75" s="23" t="s">
        <v>68</v>
      </c>
      <c r="AH75" s="24" t="s">
        <v>68</v>
      </c>
      <c r="AI75" s="27" t="s">
        <v>53</v>
      </c>
      <c r="AJ75" s="27" t="s">
        <v>54</v>
      </c>
      <c r="AK75" s="28" t="s">
        <v>634</v>
      </c>
      <c r="AL75" s="29" t="s">
        <v>635</v>
      </c>
      <c r="AM75" s="15">
        <v>64.0</v>
      </c>
      <c r="AN75" s="30" t="s">
        <v>57</v>
      </c>
      <c r="AO75" s="16" t="s">
        <v>94</v>
      </c>
      <c r="AP75" s="16" t="s">
        <v>72</v>
      </c>
      <c r="AQ75" s="30" t="s">
        <v>636</v>
      </c>
      <c r="AR75" s="30" t="s">
        <v>637</v>
      </c>
      <c r="AS75" s="16" t="s">
        <v>638</v>
      </c>
      <c r="AT75" s="15">
        <v>650.0</v>
      </c>
      <c r="AU75" s="33" t="s">
        <v>639</v>
      </c>
    </row>
    <row r="76" ht="56.25" customHeight="1">
      <c r="A76" s="15">
        <v>29.0</v>
      </c>
      <c r="B76" s="16" t="s">
        <v>640</v>
      </c>
      <c r="C76" s="27" t="str">
        <f>IMAGE("https://nh-cdn.catalogue.ac/MenuIcon/Ins19.png")</f>
        <v/>
      </c>
      <c r="D76" s="27" t="str">
        <f>IMAGE("https://nh-cdn.catalogue.ac/BookInsectIcon/InsectTsukutsukuhousi.png")</f>
        <v/>
      </c>
      <c r="E76" s="18" t="str">
        <f>IMAGE("https://nh-cdn.catalogue.ac/FtrIcon/FtrInsectTsukutsukuhousi.png")</f>
        <v/>
      </c>
      <c r="F76" s="15">
        <v>400.0</v>
      </c>
      <c r="G76" s="19" t="s">
        <v>130</v>
      </c>
      <c r="H76" s="19" t="s">
        <v>66</v>
      </c>
      <c r="I76" s="20">
        <v>0.0</v>
      </c>
      <c r="J76" s="21" t="s">
        <v>204</v>
      </c>
      <c r="K76" s="22" t="s">
        <v>51</v>
      </c>
      <c r="L76" s="22" t="s">
        <v>51</v>
      </c>
      <c r="M76" s="23" t="s">
        <v>51</v>
      </c>
      <c r="N76" s="23" t="s">
        <v>51</v>
      </c>
      <c r="O76" s="23" t="s">
        <v>51</v>
      </c>
      <c r="P76" s="24" t="s">
        <v>51</v>
      </c>
      <c r="Q76" s="24" t="s">
        <v>51</v>
      </c>
      <c r="R76" s="24" t="s">
        <v>52</v>
      </c>
      <c r="S76" s="25" t="s">
        <v>52</v>
      </c>
      <c r="T76" s="25" t="s">
        <v>51</v>
      </c>
      <c r="U76" s="25" t="s">
        <v>51</v>
      </c>
      <c r="V76" s="22" t="s">
        <v>51</v>
      </c>
      <c r="W76" s="26" t="s">
        <v>51</v>
      </c>
      <c r="X76" s="24" t="s">
        <v>52</v>
      </c>
      <c r="Y76" s="25" t="s">
        <v>52</v>
      </c>
      <c r="Z76" s="25" t="s">
        <v>51</v>
      </c>
      <c r="AA76" s="25" t="s">
        <v>51</v>
      </c>
      <c r="AB76" s="22" t="s">
        <v>51</v>
      </c>
      <c r="AC76" s="22" t="s">
        <v>51</v>
      </c>
      <c r="AD76" s="22" t="s">
        <v>51</v>
      </c>
      <c r="AE76" s="23" t="s">
        <v>51</v>
      </c>
      <c r="AF76" s="23" t="s">
        <v>51</v>
      </c>
      <c r="AG76" s="23" t="s">
        <v>51</v>
      </c>
      <c r="AH76" s="24" t="s">
        <v>51</v>
      </c>
      <c r="AI76" s="27" t="s">
        <v>53</v>
      </c>
      <c r="AJ76" s="27" t="s">
        <v>54</v>
      </c>
      <c r="AK76" s="28" t="s">
        <v>641</v>
      </c>
      <c r="AL76" s="29" t="s">
        <v>642</v>
      </c>
      <c r="AM76" s="15">
        <v>64.0</v>
      </c>
      <c r="AN76" s="30" t="s">
        <v>57</v>
      </c>
      <c r="AO76" s="16" t="s">
        <v>72</v>
      </c>
      <c r="AP76" s="16" t="s">
        <v>58</v>
      </c>
      <c r="AQ76" s="30" t="s">
        <v>643</v>
      </c>
      <c r="AR76" s="30" t="s">
        <v>644</v>
      </c>
      <c r="AS76" s="16" t="s">
        <v>645</v>
      </c>
      <c r="AT76" s="15">
        <v>649.0</v>
      </c>
      <c r="AU76" s="33" t="s">
        <v>646</v>
      </c>
    </row>
    <row r="77" ht="56.25" customHeight="1">
      <c r="A77" s="15">
        <v>67.0</v>
      </c>
      <c r="B77" s="16" t="s">
        <v>647</v>
      </c>
      <c r="C77" s="27" t="str">
        <f>IMAGE("https://nh-cdn.catalogue.ac/MenuIcon/Ins34.png")</f>
        <v/>
      </c>
      <c r="D77" s="27" t="str">
        <f>IMAGE("https://nh-cdn.catalogue.ac/BookInsectIcon/InsectKonohamushi.png")</f>
        <v/>
      </c>
      <c r="E77" s="18" t="str">
        <f>IMAGE("https://nh-cdn.catalogue.ac/FtrIcon/FtrInsectKonohamushi.png")</f>
        <v/>
      </c>
      <c r="F77" s="15">
        <v>600.0</v>
      </c>
      <c r="G77" s="16" t="s">
        <v>648</v>
      </c>
      <c r="H77" s="16" t="s">
        <v>66</v>
      </c>
      <c r="I77" s="20">
        <v>20.0</v>
      </c>
      <c r="J77" s="21" t="s">
        <v>159</v>
      </c>
      <c r="K77" s="22" t="s">
        <v>51</v>
      </c>
      <c r="L77" s="22" t="s">
        <v>51</v>
      </c>
      <c r="M77" s="23" t="s">
        <v>51</v>
      </c>
      <c r="N77" s="23" t="s">
        <v>51</v>
      </c>
      <c r="O77" s="23" t="s">
        <v>51</v>
      </c>
      <c r="P77" s="24" t="s">
        <v>51</v>
      </c>
      <c r="Q77" s="24" t="s">
        <v>68</v>
      </c>
      <c r="R77" s="24" t="s">
        <v>68</v>
      </c>
      <c r="S77" s="25" t="s">
        <v>68</v>
      </c>
      <c r="T77" s="25" t="s">
        <v>51</v>
      </c>
      <c r="U77" s="25" t="s">
        <v>51</v>
      </c>
      <c r="V77" s="22" t="s">
        <v>51</v>
      </c>
      <c r="W77" s="26" t="s">
        <v>68</v>
      </c>
      <c r="X77" s="24" t="s">
        <v>68</v>
      </c>
      <c r="Y77" s="25" t="s">
        <v>68</v>
      </c>
      <c r="Z77" s="25" t="s">
        <v>51</v>
      </c>
      <c r="AA77" s="25" t="s">
        <v>51</v>
      </c>
      <c r="AB77" s="22" t="s">
        <v>51</v>
      </c>
      <c r="AC77" s="22" t="s">
        <v>51</v>
      </c>
      <c r="AD77" s="22" t="s">
        <v>51</v>
      </c>
      <c r="AE77" s="23" t="s">
        <v>51</v>
      </c>
      <c r="AF77" s="23" t="s">
        <v>51</v>
      </c>
      <c r="AG77" s="23" t="s">
        <v>51</v>
      </c>
      <c r="AH77" s="24" t="s">
        <v>51</v>
      </c>
      <c r="AI77" s="27" t="s">
        <v>53</v>
      </c>
      <c r="AJ77" s="27" t="s">
        <v>54</v>
      </c>
      <c r="AK77" s="28" t="s">
        <v>649</v>
      </c>
      <c r="AL77" s="29" t="s">
        <v>650</v>
      </c>
      <c r="AM77" s="15">
        <v>64.0</v>
      </c>
      <c r="AN77" s="30" t="s">
        <v>57</v>
      </c>
      <c r="AO77" s="16" t="s">
        <v>59</v>
      </c>
      <c r="AP77" s="16" t="s">
        <v>59</v>
      </c>
      <c r="AQ77" s="30" t="s">
        <v>651</v>
      </c>
      <c r="AR77" s="30" t="s">
        <v>652</v>
      </c>
      <c r="AS77" s="16" t="s">
        <v>653</v>
      </c>
      <c r="AT77" s="15">
        <v>616.0</v>
      </c>
      <c r="AU77" s="33" t="s">
        <v>654</v>
      </c>
    </row>
    <row r="78" ht="56.25" customHeight="1">
      <c r="A78" s="15">
        <v>66.0</v>
      </c>
      <c r="B78" s="16" t="s">
        <v>655</v>
      </c>
      <c r="C78" s="27" t="str">
        <f>IMAGE("https://nh-cdn.catalogue.ac/MenuIcon/Ins35.png")</f>
        <v/>
      </c>
      <c r="D78" s="27" t="str">
        <f>IMAGE("https://nh-cdn.catalogue.ac/BookInsectIcon/InsectNanafushi.png")</f>
        <v/>
      </c>
      <c r="E78" s="18" t="str">
        <f>IMAGE("https://nh-cdn.catalogue.ac/FtrIcon/FtrInsectNanafushi.png")</f>
        <v/>
      </c>
      <c r="F78" s="15">
        <v>600.0</v>
      </c>
      <c r="G78" s="16" t="s">
        <v>79</v>
      </c>
      <c r="H78" s="16" t="s">
        <v>66</v>
      </c>
      <c r="I78" s="20">
        <v>20.0</v>
      </c>
      <c r="J78" s="21" t="s">
        <v>159</v>
      </c>
      <c r="K78" s="22" t="s">
        <v>51</v>
      </c>
      <c r="L78" s="22" t="s">
        <v>51</v>
      </c>
      <c r="M78" s="23" t="s">
        <v>51</v>
      </c>
      <c r="N78" s="23" t="s">
        <v>51</v>
      </c>
      <c r="O78" s="23" t="s">
        <v>51</v>
      </c>
      <c r="P78" s="24" t="s">
        <v>51</v>
      </c>
      <c r="Q78" s="24" t="s">
        <v>656</v>
      </c>
      <c r="R78" s="24" t="s">
        <v>656</v>
      </c>
      <c r="S78" s="25" t="s">
        <v>656</v>
      </c>
      <c r="T78" s="25" t="s">
        <v>656</v>
      </c>
      <c r="U78" s="25" t="s">
        <v>656</v>
      </c>
      <c r="V78" s="22" t="s">
        <v>51</v>
      </c>
      <c r="W78" s="26" t="s">
        <v>656</v>
      </c>
      <c r="X78" s="24" t="s">
        <v>656</v>
      </c>
      <c r="Y78" s="25" t="s">
        <v>656</v>
      </c>
      <c r="Z78" s="25" t="s">
        <v>656</v>
      </c>
      <c r="AA78" s="25" t="s">
        <v>656</v>
      </c>
      <c r="AB78" s="22" t="s">
        <v>51</v>
      </c>
      <c r="AC78" s="22" t="s">
        <v>51</v>
      </c>
      <c r="AD78" s="22" t="s">
        <v>51</v>
      </c>
      <c r="AE78" s="23" t="s">
        <v>51</v>
      </c>
      <c r="AF78" s="23" t="s">
        <v>51</v>
      </c>
      <c r="AG78" s="23" t="s">
        <v>51</v>
      </c>
      <c r="AH78" s="24" t="s">
        <v>51</v>
      </c>
      <c r="AI78" s="27" t="s">
        <v>53</v>
      </c>
      <c r="AJ78" s="27" t="s">
        <v>54</v>
      </c>
      <c r="AK78" s="28" t="s">
        <v>657</v>
      </c>
      <c r="AL78" s="29" t="s">
        <v>658</v>
      </c>
      <c r="AM78" s="15">
        <v>64.0</v>
      </c>
      <c r="AN78" s="30" t="s">
        <v>57</v>
      </c>
      <c r="AO78" s="16" t="s">
        <v>94</v>
      </c>
      <c r="AP78" s="16" t="s">
        <v>84</v>
      </c>
      <c r="AQ78" s="30" t="s">
        <v>659</v>
      </c>
      <c r="AR78" s="30" t="s">
        <v>660</v>
      </c>
      <c r="AS78" s="16" t="s">
        <v>661</v>
      </c>
      <c r="AT78" s="15">
        <v>630.0</v>
      </c>
      <c r="AU78" s="33" t="s">
        <v>662</v>
      </c>
    </row>
    <row r="79" ht="56.25" customHeight="1">
      <c r="A79" s="15">
        <v>25.0</v>
      </c>
      <c r="B79" s="16" t="s">
        <v>663</v>
      </c>
      <c r="C79" s="27" t="str">
        <f>IMAGE("https://nh-cdn.catalogue.ac/MenuIcon/Ins12.png")</f>
        <v/>
      </c>
      <c r="D79" s="27" t="str">
        <f>IMAGE("https://nh-cdn.catalogue.ac/BookInsectIcon/InsectHachi.png")</f>
        <v/>
      </c>
      <c r="E79" s="18" t="str">
        <f>IMAGE("https://nh-cdn.catalogue.ac/FtrIcon/FtrInsectHachi.png")</f>
        <v/>
      </c>
      <c r="F79" s="15">
        <v>2500.0</v>
      </c>
      <c r="G79" s="16" t="s">
        <v>664</v>
      </c>
      <c r="H79" s="16" t="s">
        <v>66</v>
      </c>
      <c r="I79" s="20">
        <v>0.0</v>
      </c>
      <c r="J79" s="21" t="s">
        <v>67</v>
      </c>
      <c r="K79" s="22" t="s">
        <v>68</v>
      </c>
      <c r="L79" s="22" t="s">
        <v>68</v>
      </c>
      <c r="M79" s="23" t="s">
        <v>68</v>
      </c>
      <c r="N79" s="23" t="s">
        <v>68</v>
      </c>
      <c r="O79" s="23" t="s">
        <v>68</v>
      </c>
      <c r="P79" s="24" t="s">
        <v>68</v>
      </c>
      <c r="Q79" s="24" t="s">
        <v>68</v>
      </c>
      <c r="R79" s="24" t="s">
        <v>68</v>
      </c>
      <c r="S79" s="25" t="s">
        <v>68</v>
      </c>
      <c r="T79" s="25" t="s">
        <v>68</v>
      </c>
      <c r="U79" s="25" t="s">
        <v>68</v>
      </c>
      <c r="V79" s="22" t="s">
        <v>68</v>
      </c>
      <c r="W79" s="26" t="s">
        <v>68</v>
      </c>
      <c r="X79" s="24" t="s">
        <v>68</v>
      </c>
      <c r="Y79" s="25" t="s">
        <v>68</v>
      </c>
      <c r="Z79" s="25" t="s">
        <v>68</v>
      </c>
      <c r="AA79" s="25" t="s">
        <v>68</v>
      </c>
      <c r="AB79" s="22" t="s">
        <v>68</v>
      </c>
      <c r="AC79" s="22" t="s">
        <v>68</v>
      </c>
      <c r="AD79" s="22" t="s">
        <v>68</v>
      </c>
      <c r="AE79" s="23" t="s">
        <v>68</v>
      </c>
      <c r="AF79" s="23" t="s">
        <v>68</v>
      </c>
      <c r="AG79" s="23" t="s">
        <v>68</v>
      </c>
      <c r="AH79" s="24" t="s">
        <v>68</v>
      </c>
      <c r="AI79" s="27" t="s">
        <v>53</v>
      </c>
      <c r="AJ79" s="27" t="s">
        <v>54</v>
      </c>
      <c r="AK79" s="28" t="s">
        <v>665</v>
      </c>
      <c r="AL79" s="29" t="s">
        <v>666</v>
      </c>
      <c r="AM79" s="15">
        <v>64.0</v>
      </c>
      <c r="AN79" s="30" t="s">
        <v>57</v>
      </c>
      <c r="AO79" s="16" t="s">
        <v>84</v>
      </c>
      <c r="AP79" s="16" t="s">
        <v>83</v>
      </c>
      <c r="AQ79" s="30" t="s">
        <v>667</v>
      </c>
      <c r="AR79" s="30" t="s">
        <v>668</v>
      </c>
      <c r="AS79" s="16" t="s">
        <v>669</v>
      </c>
      <c r="AT79" s="15">
        <v>643.0</v>
      </c>
      <c r="AU79" s="33" t="s">
        <v>670</v>
      </c>
    </row>
    <row r="80" ht="56.25" customHeight="1">
      <c r="A80" s="15">
        <v>71.0</v>
      </c>
      <c r="B80" s="16" t="s">
        <v>671</v>
      </c>
      <c r="C80" s="27" t="str">
        <f>IMAGE("https://nh-cdn.catalogue.ac/MenuIcon/Ins71.png")</f>
        <v/>
      </c>
      <c r="D80" s="27" t="str">
        <f>IMAGE("https://nh-cdn.catalogue.ac/BookInsectIcon/InsectFunamushi.png")</f>
        <v/>
      </c>
      <c r="E80" s="18" t="str">
        <f>IMAGE("https://nh-cdn.catalogue.ac/FtrIcon/FtrInsectFunamushi.png")</f>
        <v/>
      </c>
      <c r="F80" s="15">
        <v>200.0</v>
      </c>
      <c r="G80" s="16" t="s">
        <v>672</v>
      </c>
      <c r="H80" s="16" t="s">
        <v>66</v>
      </c>
      <c r="I80" s="20">
        <v>0.0</v>
      </c>
      <c r="J80" s="21" t="s">
        <v>418</v>
      </c>
      <c r="K80" s="22" t="s">
        <v>68</v>
      </c>
      <c r="L80" s="22" t="s">
        <v>68</v>
      </c>
      <c r="M80" s="23" t="s">
        <v>68</v>
      </c>
      <c r="N80" s="23" t="s">
        <v>68</v>
      </c>
      <c r="O80" s="23" t="s">
        <v>68</v>
      </c>
      <c r="P80" s="24" t="s">
        <v>68</v>
      </c>
      <c r="Q80" s="24" t="s">
        <v>68</v>
      </c>
      <c r="R80" s="24" t="s">
        <v>68</v>
      </c>
      <c r="S80" s="25" t="s">
        <v>68</v>
      </c>
      <c r="T80" s="25" t="s">
        <v>68</v>
      </c>
      <c r="U80" s="25" t="s">
        <v>68</v>
      </c>
      <c r="V80" s="22" t="s">
        <v>68</v>
      </c>
      <c r="W80" s="26" t="s">
        <v>68</v>
      </c>
      <c r="X80" s="24" t="s">
        <v>68</v>
      </c>
      <c r="Y80" s="25" t="s">
        <v>68</v>
      </c>
      <c r="Z80" s="25" t="s">
        <v>68</v>
      </c>
      <c r="AA80" s="25" t="s">
        <v>68</v>
      </c>
      <c r="AB80" s="22" t="s">
        <v>68</v>
      </c>
      <c r="AC80" s="22" t="s">
        <v>68</v>
      </c>
      <c r="AD80" s="22" t="s">
        <v>68</v>
      </c>
      <c r="AE80" s="23" t="s">
        <v>68</v>
      </c>
      <c r="AF80" s="23" t="s">
        <v>68</v>
      </c>
      <c r="AG80" s="23" t="s">
        <v>68</v>
      </c>
      <c r="AH80" s="24" t="s">
        <v>68</v>
      </c>
      <c r="AI80" s="27" t="s">
        <v>53</v>
      </c>
      <c r="AJ80" s="27" t="s">
        <v>69</v>
      </c>
      <c r="AK80" s="28" t="s">
        <v>673</v>
      </c>
      <c r="AL80" s="29" t="s">
        <v>674</v>
      </c>
      <c r="AM80" s="15">
        <v>64.0</v>
      </c>
      <c r="AN80" s="30" t="s">
        <v>57</v>
      </c>
      <c r="AO80" s="16" t="s">
        <v>115</v>
      </c>
      <c r="AP80" s="16" t="s">
        <v>95</v>
      </c>
      <c r="AQ80" s="30" t="s">
        <v>675</v>
      </c>
      <c r="AR80" s="30" t="s">
        <v>676</v>
      </c>
      <c r="AS80" s="16" t="s">
        <v>677</v>
      </c>
      <c r="AT80" s="15">
        <v>591.0</v>
      </c>
      <c r="AU80" s="33" t="s">
        <v>678</v>
      </c>
    </row>
    <row r="81" ht="56.25" customHeight="1">
      <c r="A81" s="15">
        <v>2.0</v>
      </c>
      <c r="B81" s="16" t="s">
        <v>679</v>
      </c>
      <c r="C81" s="27" t="str">
        <f>IMAGE("https://nh-cdn.catalogue.ac/MenuIcon/Ins1.png")</f>
        <v/>
      </c>
      <c r="D81" s="27" t="str">
        <f>IMAGE("https://nh-cdn.catalogue.ac/BookInsectIcon/InsectMonkicho.png")</f>
        <v/>
      </c>
      <c r="E81" s="18" t="str">
        <f>IMAGE("https://nh-cdn.catalogue.ac/FtrIcon/FtrInsectMonkicho.png")</f>
        <v/>
      </c>
      <c r="F81" s="15">
        <v>160.0</v>
      </c>
      <c r="G81" s="32" t="s">
        <v>167</v>
      </c>
      <c r="H81" s="16" t="s">
        <v>49</v>
      </c>
      <c r="I81" s="20">
        <v>0.0</v>
      </c>
      <c r="J81" s="21" t="s">
        <v>111</v>
      </c>
      <c r="K81" s="22" t="s">
        <v>51</v>
      </c>
      <c r="L81" s="22" t="s">
        <v>51</v>
      </c>
      <c r="M81" s="23" t="s">
        <v>168</v>
      </c>
      <c r="N81" s="23" t="s">
        <v>168</v>
      </c>
      <c r="O81" s="23" t="s">
        <v>168</v>
      </c>
      <c r="P81" s="24" t="s">
        <v>168</v>
      </c>
      <c r="Q81" s="24" t="s">
        <v>51</v>
      </c>
      <c r="R81" s="24" t="s">
        <v>51</v>
      </c>
      <c r="S81" s="25" t="s">
        <v>168</v>
      </c>
      <c r="T81" s="25" t="s">
        <v>168</v>
      </c>
      <c r="U81" s="25" t="s">
        <v>51</v>
      </c>
      <c r="V81" s="22" t="s">
        <v>51</v>
      </c>
      <c r="W81" s="26" t="s">
        <v>51</v>
      </c>
      <c r="X81" s="24" t="s">
        <v>51</v>
      </c>
      <c r="Y81" s="25" t="s">
        <v>168</v>
      </c>
      <c r="Z81" s="25" t="s">
        <v>168</v>
      </c>
      <c r="AA81" s="25" t="s">
        <v>51</v>
      </c>
      <c r="AB81" s="22" t="s">
        <v>51</v>
      </c>
      <c r="AC81" s="22" t="s">
        <v>51</v>
      </c>
      <c r="AD81" s="22" t="s">
        <v>51</v>
      </c>
      <c r="AE81" s="23" t="s">
        <v>168</v>
      </c>
      <c r="AF81" s="23" t="s">
        <v>168</v>
      </c>
      <c r="AG81" s="23" t="s">
        <v>168</v>
      </c>
      <c r="AH81" s="24" t="s">
        <v>168</v>
      </c>
      <c r="AI81" s="27" t="s">
        <v>53</v>
      </c>
      <c r="AJ81" s="27" t="s">
        <v>69</v>
      </c>
      <c r="AK81" s="28" t="s">
        <v>680</v>
      </c>
      <c r="AL81" s="29" t="s">
        <v>681</v>
      </c>
      <c r="AM81" s="15">
        <v>64.0</v>
      </c>
      <c r="AN81" s="30" t="s">
        <v>57</v>
      </c>
      <c r="AO81" s="16" t="s">
        <v>84</v>
      </c>
      <c r="AP81" s="16" t="s">
        <v>95</v>
      </c>
      <c r="AQ81" s="30" t="s">
        <v>682</v>
      </c>
      <c r="AR81" s="30" t="s">
        <v>683</v>
      </c>
      <c r="AS81" s="16" t="s">
        <v>684</v>
      </c>
      <c r="AT81" s="15">
        <v>625.0</v>
      </c>
      <c r="AU81" s="33" t="s">
        <v>685</v>
      </c>
    </row>
  </sheetData>
  <customSheetViews>
    <customSheetView guid="{5527591F-0749-4090-BA8B-7C8BF5450F3A}" filter="1" showAutoFilter="1">
      <autoFilter ref="$A$1:$AU$81">
        <sortState ref="A1:AU81">
          <sortCondition ref="AR1:AR81"/>
        </sortState>
      </autoFilter>
    </customSheetView>
    <customSheetView guid="{7CA9A4FF-F6CF-4EAA-9231-875F1BFE588D}" filter="1" showAutoFilter="1">
      <autoFilter ref="$G$1:$G$81"/>
    </customSheetView>
  </customSheetViews>
  <drawing r:id="rId1"/>
</worksheet>
</file>